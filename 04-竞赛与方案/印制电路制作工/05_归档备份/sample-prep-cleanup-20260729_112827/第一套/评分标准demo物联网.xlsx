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9y\Desktop\01叶培林\物联网样题\题\"/>
    </mc:Choice>
  </mc:AlternateContent>
  <xr:revisionPtr revIDLastSave="0" documentId="13_ncr:1_{6B703AC9-054D-4EDC-A1E7-395AABBA67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a" sheetId="1" r:id="rId1"/>
  </sheets>
  <definedNames>
    <definedName name="_xlnm.Print_Area" localSheetId="0">sheeta!$A$1:$G$87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F88" i="1"/>
</calcChain>
</file>

<file path=xl/sharedStrings.xml><?xml version="1.0" encoding="utf-8"?>
<sst xmlns="http://schemas.openxmlformats.org/spreadsheetml/2006/main" count="261" uniqueCount="162">
  <si>
    <t>模块</t>
  </si>
  <si>
    <t>模块内容</t>
  </si>
  <si>
    <t>M=测量分J=评价分</t>
  </si>
  <si>
    <t>测量或评价内容</t>
  </si>
  <si>
    <t>测量依据</t>
  </si>
  <si>
    <t>最高分</t>
  </si>
  <si>
    <t>得分</t>
  </si>
  <si>
    <t>A1</t>
  </si>
  <si>
    <t>感知层设备安装与调试</t>
  </si>
  <si>
    <t>设备选型、布局与安装连接</t>
  </si>
  <si>
    <t>M</t>
  </si>
  <si>
    <t>选手自行制作网线，符合标准</t>
  </si>
  <si>
    <t>现场评分</t>
  </si>
  <si>
    <t>A2</t>
  </si>
  <si>
    <t>传输层连接与配置</t>
  </si>
  <si>
    <t>局域网络的连接部署</t>
  </si>
  <si>
    <t>查看WAN口配置界面，看到IP设置成静态IP，IP地址为：
192.168.0.工位号，子网掩码为：[REDACTED_IP]，网关为：
[REDACTED_IP]</t>
  </si>
  <si>
    <t>A-2-1.jpg</t>
  </si>
  <si>
    <t>2.4G无线网络配置正确（关闭无线，未开启无线广播）</t>
  </si>
  <si>
    <t>A-2-2.jpg</t>
  </si>
  <si>
    <t>5G无线网络配置正确（关闭无线，未开启无线广播）</t>
  </si>
  <si>
    <t>A-2-3.jpg</t>
  </si>
  <si>
    <t>查看LAN口配置界面，手动配置了IP为172.20.工位号.1，子网
掩码为[REDACTED_IP]</t>
  </si>
  <si>
    <t>A-2-4.jpg</t>
  </si>
  <si>
    <t>查看截图，截图可以正确显示云平台首页信息</t>
  </si>
  <si>
    <t>A-2-5.jpg</t>
  </si>
  <si>
    <t>局域网各设备IP配置</t>
  </si>
  <si>
    <t>IP扫描结果正确（至少包含IOT采集器2、4G通讯终端、串口终端1、物联网中心网关,IP分别对应172.20.工位号.19,22,20,16）（每个0.25分）</t>
  </si>
  <si>
    <t>A-2-6.jpg</t>
  </si>
  <si>
    <t>调试综合显示屏</t>
  </si>
  <si>
    <t>综合显示屏正确显示工位号（不显示工位号或错误此模块不计分）</t>
  </si>
  <si>
    <t>综合显示屏正确显示图片</t>
  </si>
  <si>
    <t>综合显示屏颜色正确（红底黑字）</t>
  </si>
  <si>
    <t>综合显示屏显示出完整的边框</t>
  </si>
  <si>
    <t>UHF射频读写器的调试</t>
  </si>
  <si>
    <t>A-2-7.jpg</t>
  </si>
  <si>
    <t>感知及识别设备的使用</t>
  </si>
  <si>
    <t>正确生成二维码并使用小票打印机打印（扫描后为1762790400）</t>
  </si>
  <si>
    <t>得到的时间正确（2025-11-11 00:00:00）</t>
  </si>
  <si>
    <t>A3</t>
  </si>
  <si>
    <t>物联网网关的配置与使用</t>
  </si>
  <si>
    <t>物联网中心网关的使用</t>
  </si>
  <si>
    <t>TCP连接参数配置正确（IP设置成[REDACTED_IP]，端口8600）</t>
  </si>
  <si>
    <t>A-3-1.jpg</t>
  </si>
  <si>
    <t>UHF连接器配置界面正确(作为串口服务器被添加，IP地址172.20.工位号.21)</t>
  </si>
  <si>
    <t>A-3-2.jpg</t>
  </si>
  <si>
    <t>IOT采集器1数据监测正常（温湿度、光照有合理的数据）</t>
  </si>
  <si>
    <t>A-3-3.jpg</t>
  </si>
  <si>
    <t>4G通讯终端设备的使用</t>
  </si>
  <si>
    <t>Cloud Client连接配置正确（IP设置成[REDACTED_IP]，端口8600，云平台标识4GMT32768+{工位号}）</t>
  </si>
  <si>
    <t>A-3-4.jpg</t>
  </si>
  <si>
    <t>超声波传感器配置正确（功能码03，起始地址0100或0101，数据长度0001）</t>
  </si>
  <si>
    <t>A-3-5.jpg</t>
  </si>
  <si>
    <t>4G终端数据监测正常（超声波温度、距离（单位毫米）有合理的数据）</t>
  </si>
  <si>
    <t>A-3-6.jpg</t>
  </si>
  <si>
    <t>A4</t>
  </si>
  <si>
    <t>云服务系统的配置与使用</t>
  </si>
  <si>
    <t>云服务系统用户注册与使用</t>
  </si>
  <si>
    <t>A-4-1.jpg</t>
  </si>
  <si>
    <t>物联网网关的设备实时数据正常（温湿度，光照）</t>
  </si>
  <si>
    <t>A-4-2.jpg</t>
  </si>
  <si>
    <t>A-4-3.jpg</t>
  </si>
  <si>
    <t>A5</t>
  </si>
  <si>
    <t>职业素养</t>
  </si>
  <si>
    <t>J</t>
  </si>
  <si>
    <t>B1</t>
  </si>
  <si>
    <t>物联网云服务系统应用开发</t>
  </si>
  <si>
    <t>应用界面设计合理美观，能显示超声波传感器_距离数据和常亮白灯_控制状态</t>
  </si>
  <si>
    <t>B-1-1.jpg</t>
  </si>
  <si>
    <t>自动控制规则配置正确（距离&lt;=200mm常亮白灯点亮反之熄灭）</t>
  </si>
  <si>
    <t>B-1-2.jpg</t>
  </si>
  <si>
    <t>现场验证：自动控制和背景切换逻辑正确</t>
  </si>
  <si>
    <t>B2</t>
  </si>
  <si>
    <t>物联网项目原型设计</t>
  </si>
  <si>
    <t>组件布局符合要求</t>
  </si>
  <si>
    <t>倒计时器原型功能实现（更新、启动/暂停、重置）</t>
  </si>
  <si>
    <t>有提交“原型设计.rp”和“原型设计.rar”，提交内
容符合本题要求的制作内容</t>
  </si>
  <si>
    <t>B3</t>
  </si>
  <si>
    <t>Windows系统调试</t>
  </si>
  <si>
    <t>使用命令查询80端口（有正确端口80）</t>
  </si>
  <si>
    <t>B-3-1.jpg</t>
  </si>
  <si>
    <t>使用 netsh interface dump导出配置信息（txt顶部命令正确，内容正确）</t>
  </si>
  <si>
    <t>B-3-2.txt</t>
  </si>
  <si>
    <t>关闭 Windows 移动中心功能（已启用）</t>
  </si>
  <si>
    <t>B-3-3.jpg</t>
  </si>
  <si>
    <t>查看 IP 地址和 MAC 地址映射（能看到IP和MAC即可）</t>
  </si>
  <si>
    <t>B-3-4.jpg</t>
  </si>
  <si>
    <t>查询磁盘默认共享服务（net share）</t>
  </si>
  <si>
    <t>B-3-5.jpg</t>
  </si>
  <si>
    <t>B4</t>
  </si>
  <si>
    <t>Ubuntu系统调试</t>
  </si>
  <si>
    <t>查看截图，截图中可以看到时区及时钟同步信息（Time zone:Asia/Shanghai;systemd-timesyncd.service active:yes）</t>
  </si>
  <si>
    <t>B-4-1.jpg</t>
  </si>
  <si>
    <t>查看截图，截图中可以看到userlock呈锁定状态(字母L及/usr/sbin/nologin被圈出)</t>
  </si>
  <si>
    <t>B-4-2.jpg</t>
  </si>
  <si>
    <t>查看截图，截图中可以看到使用命令查询得到的SSH端口为2222（圈出2222即可）</t>
  </si>
  <si>
    <t>B-4-3.jpg</t>
  </si>
  <si>
    <t>查看截图，截图中需体现默认拒绝策略（圈出deny(incoming)部分即可）</t>
  </si>
  <si>
    <t>B-4-4.jpg</t>
  </si>
  <si>
    <t>查看截图，截图中可以看到配置的单向隐身参数(net.ipv4.icmp_echo_ignore_all=1;)</t>
  </si>
  <si>
    <t>B-4-5.jpg</t>
  </si>
  <si>
    <t>B5</t>
  </si>
  <si>
    <t>应用辅助软件调试</t>
  </si>
  <si>
    <t>查看截图，截图中使用的sql语句正确，查询结果符合题目要
求（三行数据，记录总数分别是130，30948，34）</t>
  </si>
  <si>
    <t>B-5-1.jpg</t>
  </si>
  <si>
    <t>查看截图，截图中使用正确的sql语句查了没有名字的用户信
息，查询结果正确（一行数据，值为32）</t>
  </si>
  <si>
    <t>B-5-2.jpg</t>
  </si>
  <si>
    <t>查看截图，截图中使用正确的sql语句查询了每个角色对应的
用户数，查询结果符合题目要求（为34行）</t>
  </si>
  <si>
    <t>B-5-3.jpg</t>
  </si>
  <si>
    <t>查看截图，截图中可以正确显示从未登陆过的用户的ID NAME以及RegisterDate（62行）</t>
  </si>
  <si>
    <t>B-5-4.jpg</t>
  </si>
  <si>
    <t>B6</t>
  </si>
  <si>
    <t>硬件设备维护</t>
  </si>
  <si>
    <t>联动控制器波特率设置 (9600)，圈出的联动控制器返回数据正确（数据帧中带有0E38或1001）</t>
  </si>
  <si>
    <t>B-6-1.jpg</t>
  </si>
  <si>
    <t>联动控制器从机地址设置 (5)+物理拨码地址正确27（11011）</t>
  </si>
  <si>
    <t>B-6-2.jpg+现场评分</t>
  </si>
  <si>
    <t>联动控制器工作模式设置(本机非自锁联动)</t>
  </si>
  <si>
    <t>B-6-3.jpg</t>
  </si>
  <si>
    <t>上位机读取到 DI/光耦 触发状态并正确圈出</t>
  </si>
  <si>
    <t>B-6-4.jpg</t>
  </si>
  <si>
    <t>现场验证：联动逻辑正确（限位按下-&gt;推杆-&gt;行程被触发-&gt;频闪启动）若将联动控制器断电后依然能实现，则此点不得分</t>
  </si>
  <si>
    <t>B7</t>
  </si>
  <si>
    <t>无线传感数据汇聚系统</t>
  </si>
  <si>
    <t>各传感器命名格式正确（LoRaMaster_温度，LoRaNode_湿度）</t>
  </si>
  <si>
    <t>B-7-1.jpg</t>
  </si>
  <si>
    <t>进入选手4G通讯终端数据监测页面，LoRaMaster传感器和LoRaNode采集的百叶箱传感器数据正常（朝LoRaMaster传感器模块哈气，湿度数据会变化，朝百叶箱传感器哈气，湿度数据会变化）（多合一传感器温度湿度人体每个0.5分）（LoRaMaster温度湿度光照每个1分）</t>
  </si>
  <si>
    <t>4G通讯终端可以控制LoRaMaster_LED1点亮或熄灭（若状态更改后无法保持至少5S，此点不得分）</t>
  </si>
  <si>
    <t>LoRaMaster 的 OLED 显示正确（温湿度等数据能够和数据检测界面同步）（无工位号或不匹配此题12分不得分）</t>
  </si>
  <si>
    <t>LoRaNode 的 OLED 显示正确（温湿度人体数据需和4G终端数据监测页相同，每个数据一分，无工位号或错误此题12分不得分）</t>
  </si>
  <si>
    <t>提交完整的工程项目文件（LoRaMaster，LoRaNode）</t>
  </si>
  <si>
    <t>题七.zip</t>
  </si>
  <si>
    <t>B8</t>
  </si>
  <si>
    <t>门禁管理应用开发</t>
  </si>
  <si>
    <t>程序发布到终端，界面符合要求</t>
  </si>
  <si>
    <t>读 “业主卡” 时：界面亮绿灯，显示卡片信息 +程序提示”正在通行“，5 秒后自动切回默认状态（灯灭、提示清空）</t>
  </si>
  <si>
    <t>读 “胁迫卡” 时：界面亮红灯 + 响蜂鸣，显示卡片信息 +程序提示“业主受胁迫，请救援！”</t>
  </si>
  <si>
    <t>点击程序界面“通行按钮”：能在 “通行状态（亮绿灯 ，不会主动熄灭+ 程序不显示卡片信息+程序提示“正在通行”）” 和 “默认状态（灯灭、提示清空）” 之间切换</t>
  </si>
  <si>
    <t>点击程序界面“警报按钮”：能在 “警报状态（亮红灯 + 响蜂鸣 + 程序不显示卡片信息+程序提示“业主受胁迫，请救援！”）” 和 “默认状态（灯灭、蜂鸣停、程序提示信息清空）” 之间切换</t>
  </si>
  <si>
    <t>触发报警后，按行程开关或通过程序控制能切回默认状态（灯灭、蜂鸣停、提示信息清空）</t>
  </si>
  <si>
    <t>提交完整的工程代码</t>
  </si>
  <si>
    <t>题八.zip</t>
  </si>
  <si>
    <t>B9</t>
  </si>
  <si>
    <t>智能传送带启停控制系统</t>
  </si>
  <si>
    <t>ZigBee Master 和 Node 配置正确（PANID与Channel相同，router的设备ID不为0）（每个0.25分）</t>
  </si>
  <si>
    <t>B-9-1.jpg, B-9-2.jpg</t>
  </si>
  <si>
    <t>运行B9.exe，状态指示区域可以随着实际双刀双掷开关实时更新</t>
  </si>
  <si>
    <t>日志区域日志可以正确打印，打印的日志没有时间扣0.5分</t>
  </si>
  <si>
    <t>通讯方式正确：Python程序通过TCP轮询DI状态（程序开启时，串口终端1的TX及RX指示灯需交替闪烁，关闭时TX/RX指示灯均熄灭）</t>
  </si>
  <si>
    <t>联动逻辑正确：根据DI状态控制DO（电机）启停（响应时间&lt;10S）若通讯方式错误此点不得分</t>
  </si>
  <si>
    <t>提交完整的工程源码及B9.EXE文件</t>
  </si>
  <si>
    <t>题九.zip,B9.exe</t>
  </si>
  <si>
    <t>总分</t>
  </si>
  <si>
    <r>
      <rPr>
        <sz val="10"/>
        <color theme="1"/>
        <rFont val="Microsoft YaHei"/>
        <family val="2"/>
        <charset val="134"/>
      </rPr>
      <t>正确读取</t>
    </r>
    <r>
      <rPr>
        <sz val="10"/>
        <color theme="1"/>
        <rFont val="Arial"/>
        <family val="2"/>
        <scheme val="minor"/>
      </rPr>
      <t>EPC</t>
    </r>
    <r>
      <rPr>
        <sz val="10"/>
        <color theme="1"/>
        <rFont val="Microsoft YaHei"/>
        <family val="2"/>
        <charset val="134"/>
      </rPr>
      <t>号并圈出</t>
    </r>
    <phoneticPr fontId="1" type="noConversion"/>
  </si>
  <si>
    <r>
      <rPr>
        <sz val="10"/>
        <color theme="1"/>
        <rFont val="Microsoft YaHei"/>
        <family val="2"/>
        <charset val="134"/>
      </rPr>
      <t>物联网网关和</t>
    </r>
    <r>
      <rPr>
        <sz val="10"/>
        <color theme="1"/>
        <rFont val="Arial"/>
        <family val="2"/>
        <scheme val="minor"/>
      </rPr>
      <t>4G</t>
    </r>
    <r>
      <rPr>
        <sz val="10"/>
        <color theme="1"/>
        <rFont val="Microsoft YaHei"/>
        <family val="2"/>
        <charset val="134"/>
      </rPr>
      <t>通讯终端设备均</t>
    </r>
    <r>
      <rPr>
        <sz val="10"/>
        <color theme="1"/>
        <rFont val="Arial"/>
        <family val="2"/>
        <scheme val="minor"/>
      </rPr>
      <t>“</t>
    </r>
    <r>
      <rPr>
        <sz val="10"/>
        <color theme="1"/>
        <rFont val="Microsoft YaHei"/>
        <family val="2"/>
        <charset val="134"/>
      </rPr>
      <t>在线</t>
    </r>
    <r>
      <rPr>
        <sz val="10"/>
        <color theme="1"/>
        <rFont val="Arial"/>
        <family val="2"/>
        <scheme val="minor"/>
      </rPr>
      <t>”</t>
    </r>
    <phoneticPr fontId="1" type="noConversion"/>
  </si>
  <si>
    <r>
      <t>Python</t>
    </r>
    <r>
      <rPr>
        <sz val="10"/>
        <color theme="1"/>
        <rFont val="Microsoft YaHei"/>
        <family val="2"/>
        <charset val="134"/>
      </rPr>
      <t>程序打包为</t>
    </r>
    <r>
      <rPr>
        <sz val="10"/>
        <color theme="1"/>
        <rFont val="Arial"/>
        <family val="2"/>
        <scheme val="minor"/>
      </rPr>
      <t xml:space="preserve"> B9.exe </t>
    </r>
    <r>
      <rPr>
        <sz val="10"/>
        <color theme="1"/>
        <rFont val="Microsoft YaHei"/>
        <family val="2"/>
        <charset val="134"/>
      </rPr>
      <t>并能运行，界面符合要求</t>
    </r>
    <phoneticPr fontId="1" type="noConversion"/>
  </si>
  <si>
    <t>原型设计.rp，原型设计.rar</t>
    <phoneticPr fontId="15" type="noConversion"/>
  </si>
  <si>
    <r>
      <rPr>
        <sz val="10"/>
        <color theme="1"/>
        <rFont val="微软雅黑"/>
        <family val="2"/>
        <charset val="134"/>
      </rPr>
      <t>按照布局图正确安装</t>
    </r>
    <r>
      <rPr>
        <sz val="10"/>
        <color theme="1"/>
        <rFont val="Arial"/>
        <family val="2"/>
        <scheme val="minor"/>
      </rPr>
      <t xml:space="preserve"> 36 </t>
    </r>
    <r>
      <rPr>
        <sz val="10"/>
        <color theme="1"/>
        <rFont val="微软雅黑"/>
        <family val="2"/>
        <charset val="134"/>
      </rPr>
      <t>个设备（如</t>
    </r>
    <r>
      <rPr>
        <sz val="10"/>
        <color theme="1"/>
        <rFont val="Arial"/>
        <family val="2"/>
        <scheme val="minor"/>
      </rPr>
      <t>4G</t>
    </r>
    <r>
      <rPr>
        <sz val="10"/>
        <color theme="1"/>
        <rFont val="微软雅黑"/>
        <family val="2"/>
        <charset val="134"/>
      </rPr>
      <t>终端、</t>
    </r>
    <r>
      <rPr>
        <sz val="10"/>
        <color theme="1"/>
        <rFont val="Arial"/>
        <family val="2"/>
        <scheme val="minor"/>
      </rPr>
      <t>LoRa Master</t>
    </r>
    <r>
      <rPr>
        <sz val="10"/>
        <color theme="1"/>
        <rFont val="微软雅黑"/>
        <family val="2"/>
        <charset val="134"/>
      </rPr>
      <t>、超声波、继电器、联动控制器、限位开关、电动推杆、行程开关、频闪红灯、温湿度、光照、常亮白灯、</t>
    </r>
    <r>
      <rPr>
        <sz val="10"/>
        <color theme="1"/>
        <rFont val="Arial"/>
        <family val="2"/>
        <scheme val="minor"/>
      </rPr>
      <t>IoT</t>
    </r>
    <r>
      <rPr>
        <sz val="10"/>
        <color theme="1"/>
        <rFont val="微软雅黑"/>
        <family val="2"/>
        <charset val="134"/>
      </rPr>
      <t>采集器</t>
    </r>
    <r>
      <rPr>
        <sz val="10"/>
        <color theme="1"/>
        <rFont val="Arial"/>
        <family val="2"/>
        <scheme val="minor"/>
      </rPr>
      <t>1</t>
    </r>
    <r>
      <rPr>
        <sz val="10"/>
        <color theme="1"/>
        <rFont val="微软雅黑"/>
        <family val="2"/>
        <charset val="134"/>
      </rPr>
      <t>、网络摄像头、</t>
    </r>
    <r>
      <rPr>
        <sz val="10"/>
        <color theme="1"/>
        <rFont val="Arial"/>
        <family val="2"/>
        <scheme val="minor"/>
      </rPr>
      <t>ZigBee Master</t>
    </r>
    <r>
      <rPr>
        <sz val="10"/>
        <color theme="1"/>
        <rFont val="微软雅黑"/>
        <family val="2"/>
        <charset val="134"/>
      </rPr>
      <t>、串口终端</t>
    </r>
    <r>
      <rPr>
        <sz val="10"/>
        <color theme="1"/>
        <rFont val="Arial"/>
        <family val="2"/>
        <scheme val="minor"/>
      </rPr>
      <t>1</t>
    </r>
    <r>
      <rPr>
        <sz val="10"/>
        <color theme="1"/>
        <rFont val="微软雅黑"/>
        <family val="2"/>
        <charset val="134"/>
      </rPr>
      <t>、综合显示屏、交换机、中心网关、</t>
    </r>
    <r>
      <rPr>
        <sz val="10"/>
        <color theme="1"/>
        <rFont val="Arial"/>
        <family val="2"/>
        <scheme val="minor"/>
      </rPr>
      <t>NEW Porter</t>
    </r>
    <r>
      <rPr>
        <sz val="10"/>
        <color theme="1"/>
        <rFont val="微软雅黑"/>
        <family val="2"/>
        <charset val="134"/>
      </rPr>
      <t>、路由器、物联网应用开发终端、单轮式行程开关、串口终端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微软雅黑"/>
        <family val="2"/>
        <charset val="134"/>
      </rPr>
      <t>、多层警示灯、</t>
    </r>
    <r>
      <rPr>
        <sz val="10"/>
        <color theme="1"/>
        <rFont val="Arial"/>
        <family val="2"/>
        <scheme val="minor"/>
      </rPr>
      <t>UHF</t>
    </r>
    <r>
      <rPr>
        <sz val="10"/>
        <color theme="1"/>
        <rFont val="微软雅黑"/>
        <family val="2"/>
        <charset val="134"/>
      </rPr>
      <t>射频读卡器、</t>
    </r>
    <r>
      <rPr>
        <sz val="10"/>
        <color theme="1"/>
        <rFont val="Arial"/>
        <family val="2"/>
        <scheme val="minor"/>
      </rPr>
      <t>IoT</t>
    </r>
    <r>
      <rPr>
        <sz val="10"/>
        <color theme="1"/>
        <rFont val="微软雅黑"/>
        <family val="2"/>
        <charset val="134"/>
      </rPr>
      <t>采集器</t>
    </r>
    <r>
      <rPr>
        <sz val="10"/>
        <color theme="1"/>
        <rFont val="Arial"/>
        <family val="2"/>
        <scheme val="minor"/>
      </rPr>
      <t>2</t>
    </r>
    <r>
      <rPr>
        <sz val="10"/>
        <color theme="1"/>
        <rFont val="微软雅黑"/>
        <family val="2"/>
        <charset val="134"/>
      </rPr>
      <t>、直流电机、多合一传感器、</t>
    </r>
    <r>
      <rPr>
        <sz val="10"/>
        <color theme="1"/>
        <rFont val="Arial"/>
        <family val="2"/>
        <scheme val="minor"/>
      </rPr>
      <t>ZigBee Node</t>
    </r>
    <r>
      <rPr>
        <sz val="10"/>
        <color theme="1"/>
        <rFont val="微软雅黑"/>
        <family val="2"/>
        <charset val="134"/>
      </rPr>
      <t>、双刀双掷开关、</t>
    </r>
    <r>
      <rPr>
        <sz val="10"/>
        <color theme="1"/>
        <rFont val="Arial"/>
        <family val="2"/>
        <scheme val="minor"/>
      </rPr>
      <t>LoRa Node</t>
    </r>
    <r>
      <rPr>
        <sz val="10"/>
        <color theme="1"/>
        <rFont val="微软雅黑"/>
        <family val="2"/>
        <charset val="134"/>
      </rPr>
      <t>、百叶箱传感器等）（每个传感器</t>
    </r>
    <r>
      <rPr>
        <sz val="10"/>
        <color theme="1"/>
        <rFont val="Arial"/>
        <family val="2"/>
        <scheme val="minor"/>
      </rPr>
      <t>0.5</t>
    </r>
    <r>
      <rPr>
        <sz val="10"/>
        <color theme="1"/>
        <rFont val="微软雅黑"/>
        <family val="2"/>
        <charset val="134"/>
      </rPr>
      <t>分）</t>
    </r>
    <phoneticPr fontId="15" type="noConversion"/>
  </si>
  <si>
    <r>
      <t>4G</t>
    </r>
    <r>
      <rPr>
        <sz val="10"/>
        <color theme="1"/>
        <rFont val="微软雅黑"/>
        <family val="2"/>
        <charset val="134"/>
      </rPr>
      <t>通讯终端设备超声波传感器数据正常（温度，光照）</t>
    </r>
    <phoneticPr fontId="15" type="noConversion"/>
  </si>
  <si>
    <t>设备安装布局：均匀排布、设备对齐、间距美观，分区正确</t>
    <phoneticPr fontId="15" type="noConversion"/>
  </si>
  <si>
    <t>设备接线：连线整齐美观、所有线都装入线槽</t>
    <phoneticPr fontId="15" type="noConversion"/>
  </si>
  <si>
    <t>卫生整理情况：桌面、地面干净，工具还原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</si>
</sst>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rgb="FF000000"/>
      <name val="Arial"/>
      <scheme val="minor"/>
    </font>
    <font>
      <sz val="10"/>
      <color rgb="FF000000"/>
      <name val="Segoe UI Symbol"/>
      <family val="2"/>
    </font>
    <font>
      <sz val="10"/>
      <color theme="1"/>
      <name val="Microsoft YaHei"/>
      <family val="2"/>
      <charset val="134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Microsoft YaHei"/>
      <family val="2"/>
      <charset val="134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charset val="134"/>
      <scheme val="minor"/>
    </font>
    <font>
      <sz val="10"/>
      <color theme="1"/>
      <name val="Microsoft YaHei"/>
      <family val="2"/>
    </font>
    <font>
      <b/>
      <sz val="10"/>
      <color theme="1"/>
      <name val="Microsoft YaHei"/>
      <family val="2"/>
    </font>
    <font>
      <sz val="10"/>
      <name val="Microsoft YaHei"/>
      <family val="2"/>
      <charset val="134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sz val="10"/>
      <name val="Microsoft YaHei"/>
      <family val="2"/>
      <charset val="134"/>
    </font>
    <font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11"/>
  </cellStyleXfs>
  <cellXfs count="32">
    <xf numFmtId="0" fontId="0" fillId="0" borderId="0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1" xfId="0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3" fillId="0" borderId="0" xfId="0" applyFont="1" applyBorder="1"/>
    <xf numFmtId="0" fontId="14" fillId="0" borderId="11" xfId="0" applyFont="1"/>
    <xf numFmtId="0" fontId="10" fillId="0" borderId="0" xfId="0" applyFont="1" applyBorder="1"/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6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a">
    <outlinePr summaryBelow="0" summaryRight="0"/>
  </sheetPr>
  <dimension ref="A1:Z88"/>
  <sheetViews>
    <sheetView tabSelected="1" topLeftCell="A77" zoomScale="145" zoomScaleNormal="145" workbookViewId="0">
      <selection activeCell="F87" sqref="A1:G88"/>
    </sheetView>
  </sheetViews>
  <sheetFormatPr defaultColWidth="12.5703125" defaultRowHeight="15.75" customHeight="1"/>
  <cols>
    <col min="1" max="1" width="7.140625" style="27" customWidth="1"/>
    <col min="2" max="2" width="22.7109375" style="27" customWidth="1"/>
    <col min="3" max="3" width="17.7109375" style="27" customWidth="1"/>
    <col min="4" max="4" width="58.28515625" style="27" customWidth="1"/>
    <col min="5" max="5" width="19" style="27" customWidth="1"/>
    <col min="6" max="6" width="7.140625" style="27" customWidth="1"/>
    <col min="7" max="7" width="9.28515625" style="27" customWidth="1"/>
    <col min="8" max="26" width="12.5703125" style="27"/>
  </cols>
  <sheetData>
    <row r="1" spans="1:8" ht="1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ht="35.1" customHeight="1">
      <c r="A2" s="3" t="s">
        <v>7</v>
      </c>
      <c r="B2" s="28" t="s">
        <v>8</v>
      </c>
      <c r="C2" s="29"/>
      <c r="D2" s="29"/>
      <c r="E2" s="30"/>
      <c r="F2" s="4">
        <v>20</v>
      </c>
      <c r="G2" s="5"/>
    </row>
    <row r="3" spans="1:8" ht="36.75" customHeight="1">
      <c r="A3" s="6"/>
      <c r="B3" s="1" t="s">
        <v>9</v>
      </c>
      <c r="C3" s="2" t="s">
        <v>10</v>
      </c>
      <c r="D3" s="1" t="s">
        <v>11</v>
      </c>
      <c r="E3" s="6" t="s">
        <v>12</v>
      </c>
      <c r="F3" s="7">
        <v>2</v>
      </c>
      <c r="G3" s="6"/>
      <c r="H3" s="8"/>
    </row>
    <row r="4" spans="1:8" ht="138.75" customHeight="1">
      <c r="A4" s="6"/>
      <c r="B4" s="6"/>
      <c r="C4" s="2" t="s">
        <v>10</v>
      </c>
      <c r="D4" s="9" t="s">
        <v>157</v>
      </c>
      <c r="E4" s="1" t="s">
        <v>12</v>
      </c>
      <c r="F4" s="10">
        <v>18</v>
      </c>
      <c r="G4" s="6"/>
    </row>
    <row r="5" spans="1:8" ht="35.1" customHeight="1">
      <c r="A5" s="3" t="s">
        <v>13</v>
      </c>
      <c r="B5" s="28" t="s">
        <v>14</v>
      </c>
      <c r="C5" s="29"/>
      <c r="D5" s="29"/>
      <c r="E5" s="30"/>
      <c r="F5" s="4">
        <v>7.5</v>
      </c>
      <c r="G5" s="5"/>
    </row>
    <row r="6" spans="1:8" ht="48" customHeight="1">
      <c r="A6" s="6"/>
      <c r="B6" s="2" t="s">
        <v>15</v>
      </c>
      <c r="C6" s="2" t="s">
        <v>10</v>
      </c>
      <c r="D6" s="2" t="s">
        <v>16</v>
      </c>
      <c r="E6" s="2" t="s">
        <v>17</v>
      </c>
      <c r="F6" s="10">
        <v>0.5</v>
      </c>
      <c r="G6" s="6"/>
    </row>
    <row r="7" spans="1:8" ht="20.100000000000001" customHeight="1">
      <c r="A7" s="6"/>
      <c r="B7" s="6"/>
      <c r="C7" s="2" t="s">
        <v>10</v>
      </c>
      <c r="D7" s="2" t="s">
        <v>18</v>
      </c>
      <c r="E7" s="2" t="s">
        <v>19</v>
      </c>
      <c r="F7" s="10">
        <v>0.25</v>
      </c>
      <c r="G7" s="6"/>
    </row>
    <row r="8" spans="1:8" ht="20.100000000000001" customHeight="1">
      <c r="A8" s="6"/>
      <c r="B8" s="6"/>
      <c r="C8" s="2" t="s">
        <v>10</v>
      </c>
      <c r="D8" s="2" t="s">
        <v>20</v>
      </c>
      <c r="E8" s="2" t="s">
        <v>21</v>
      </c>
      <c r="F8" s="10">
        <v>0.25</v>
      </c>
      <c r="G8" s="6"/>
    </row>
    <row r="9" spans="1:8" ht="27" customHeight="1">
      <c r="A9" s="6"/>
      <c r="B9" s="6"/>
      <c r="C9" s="2" t="s">
        <v>10</v>
      </c>
      <c r="D9" s="2" t="s">
        <v>22</v>
      </c>
      <c r="E9" s="2" t="s">
        <v>23</v>
      </c>
      <c r="F9" s="10">
        <v>0.5</v>
      </c>
      <c r="G9" s="6"/>
    </row>
    <row r="10" spans="1:8" ht="20.100000000000001" customHeight="1">
      <c r="A10" s="6"/>
      <c r="B10" s="6"/>
      <c r="C10" s="2" t="s">
        <v>10</v>
      </c>
      <c r="D10" s="1" t="s">
        <v>24</v>
      </c>
      <c r="E10" s="2" t="s">
        <v>25</v>
      </c>
      <c r="F10" s="10">
        <v>0.5</v>
      </c>
      <c r="G10" s="6"/>
    </row>
    <row r="11" spans="1:8" ht="33.75" customHeight="1">
      <c r="A11" s="6"/>
      <c r="B11" s="2" t="s">
        <v>26</v>
      </c>
      <c r="C11" s="2" t="s">
        <v>10</v>
      </c>
      <c r="D11" s="2" t="s">
        <v>27</v>
      </c>
      <c r="E11" s="2" t="s">
        <v>28</v>
      </c>
      <c r="F11" s="10">
        <v>1</v>
      </c>
      <c r="G11" s="6"/>
    </row>
    <row r="12" spans="1:8" ht="20.100000000000001" customHeight="1">
      <c r="A12" s="6"/>
      <c r="B12" s="2" t="s">
        <v>29</v>
      </c>
      <c r="C12" s="2" t="s">
        <v>10</v>
      </c>
      <c r="D12" s="1" t="s">
        <v>30</v>
      </c>
      <c r="E12" s="2" t="s">
        <v>12</v>
      </c>
      <c r="F12" s="10">
        <v>0.25</v>
      </c>
      <c r="G12" s="6"/>
    </row>
    <row r="13" spans="1:8" ht="20.100000000000001" customHeight="1">
      <c r="A13" s="6"/>
      <c r="B13" s="2"/>
      <c r="C13" s="2" t="s">
        <v>10</v>
      </c>
      <c r="D13" s="1" t="s">
        <v>31</v>
      </c>
      <c r="E13" s="2" t="s">
        <v>12</v>
      </c>
      <c r="F13" s="10">
        <v>0.5</v>
      </c>
      <c r="G13" s="6"/>
    </row>
    <row r="14" spans="1:8" ht="20.100000000000001" customHeight="1">
      <c r="A14" s="6"/>
      <c r="B14" s="2"/>
      <c r="C14" s="2" t="s">
        <v>10</v>
      </c>
      <c r="D14" s="1" t="s">
        <v>32</v>
      </c>
      <c r="E14" s="2" t="s">
        <v>12</v>
      </c>
      <c r="F14" s="11">
        <v>1</v>
      </c>
      <c r="G14" s="6"/>
    </row>
    <row r="15" spans="1:8" ht="20.100000000000001" customHeight="1">
      <c r="A15" s="6"/>
      <c r="B15" s="2"/>
      <c r="C15" s="2" t="s">
        <v>10</v>
      </c>
      <c r="D15" s="1" t="s">
        <v>33</v>
      </c>
      <c r="E15" s="2" t="s">
        <v>12</v>
      </c>
      <c r="F15" s="10">
        <v>1</v>
      </c>
      <c r="G15" s="6"/>
    </row>
    <row r="16" spans="1:8" ht="20.100000000000001" customHeight="1">
      <c r="A16" s="6"/>
      <c r="B16" s="2" t="s">
        <v>34</v>
      </c>
      <c r="C16" s="2" t="s">
        <v>10</v>
      </c>
      <c r="D16" s="12" t="s">
        <v>153</v>
      </c>
      <c r="E16" s="2" t="s">
        <v>35</v>
      </c>
      <c r="F16" s="10">
        <v>0.5</v>
      </c>
      <c r="G16" s="6"/>
    </row>
    <row r="17" spans="1:7" ht="20.100000000000001" customHeight="1">
      <c r="A17" s="6"/>
      <c r="B17" s="2" t="s">
        <v>36</v>
      </c>
      <c r="C17" s="2" t="s">
        <v>10</v>
      </c>
      <c r="D17" s="2" t="s">
        <v>37</v>
      </c>
      <c r="E17" s="2" t="s">
        <v>12</v>
      </c>
      <c r="F17" s="10">
        <v>0.25</v>
      </c>
      <c r="G17" s="6"/>
    </row>
    <row r="18" spans="1:7" ht="20.100000000000001" customHeight="1">
      <c r="A18" s="6"/>
      <c r="B18" s="2"/>
      <c r="C18" s="2" t="s">
        <v>10</v>
      </c>
      <c r="D18" s="1" t="s">
        <v>38</v>
      </c>
      <c r="E18" s="2" t="s">
        <v>12</v>
      </c>
      <c r="F18" s="10">
        <v>1</v>
      </c>
      <c r="G18" s="6"/>
    </row>
    <row r="19" spans="1:7" ht="35.1" customHeight="1">
      <c r="A19" s="3" t="s">
        <v>39</v>
      </c>
      <c r="B19" s="28" t="s">
        <v>40</v>
      </c>
      <c r="C19" s="29"/>
      <c r="D19" s="29"/>
      <c r="E19" s="30"/>
      <c r="F19" s="4">
        <v>3.5</v>
      </c>
      <c r="G19" s="5"/>
    </row>
    <row r="20" spans="1:7" ht="20.100000000000001" customHeight="1">
      <c r="A20" s="6"/>
      <c r="B20" s="2" t="s">
        <v>41</v>
      </c>
      <c r="C20" s="2" t="s">
        <v>10</v>
      </c>
      <c r="D20" s="2" t="s">
        <v>42</v>
      </c>
      <c r="E20" s="2" t="s">
        <v>43</v>
      </c>
      <c r="F20" s="10">
        <v>0.5</v>
      </c>
      <c r="G20" s="6"/>
    </row>
    <row r="21" spans="1:7" ht="28.5" customHeight="1">
      <c r="A21" s="6"/>
      <c r="B21" s="6"/>
      <c r="C21" s="2" t="s">
        <v>10</v>
      </c>
      <c r="D21" s="12" t="s">
        <v>44</v>
      </c>
      <c r="E21" s="2" t="s">
        <v>45</v>
      </c>
      <c r="F21" s="10">
        <v>0.5</v>
      </c>
      <c r="G21" s="6"/>
    </row>
    <row r="22" spans="1:7" ht="20.100000000000001" customHeight="1">
      <c r="A22" s="6"/>
      <c r="B22" s="6"/>
      <c r="C22" s="2" t="s">
        <v>10</v>
      </c>
      <c r="D22" s="2" t="s">
        <v>46</v>
      </c>
      <c r="E22" s="2" t="s">
        <v>47</v>
      </c>
      <c r="F22" s="10">
        <v>0.5</v>
      </c>
      <c r="G22" s="6"/>
    </row>
    <row r="23" spans="1:7" ht="30.75" customHeight="1">
      <c r="A23" s="6"/>
      <c r="B23" s="2" t="s">
        <v>48</v>
      </c>
      <c r="C23" s="2" t="s">
        <v>10</v>
      </c>
      <c r="D23" s="2" t="s">
        <v>49</v>
      </c>
      <c r="E23" s="2" t="s">
        <v>50</v>
      </c>
      <c r="F23" s="10">
        <v>0.5</v>
      </c>
      <c r="G23" s="6"/>
    </row>
    <row r="24" spans="1:7" ht="30.75" customHeight="1">
      <c r="A24" s="6"/>
      <c r="B24" s="6"/>
      <c r="C24" s="2" t="s">
        <v>10</v>
      </c>
      <c r="D24" s="1" t="s">
        <v>51</v>
      </c>
      <c r="E24" s="2" t="s">
        <v>52</v>
      </c>
      <c r="F24" s="10">
        <v>0.5</v>
      </c>
      <c r="G24" s="6"/>
    </row>
    <row r="25" spans="1:7" ht="20.100000000000001" customHeight="1">
      <c r="A25" s="6"/>
      <c r="B25" s="6"/>
      <c r="C25" s="2" t="s">
        <v>10</v>
      </c>
      <c r="D25" s="2" t="s">
        <v>53</v>
      </c>
      <c r="E25" s="2" t="s">
        <v>54</v>
      </c>
      <c r="F25" s="10">
        <v>1</v>
      </c>
      <c r="G25" s="6"/>
    </row>
    <row r="26" spans="1:7" ht="35.1" customHeight="1">
      <c r="A26" s="3" t="s">
        <v>55</v>
      </c>
      <c r="B26" s="28" t="s">
        <v>56</v>
      </c>
      <c r="C26" s="29"/>
      <c r="D26" s="29"/>
      <c r="E26" s="30"/>
      <c r="F26" s="4">
        <v>4</v>
      </c>
      <c r="G26" s="5"/>
    </row>
    <row r="27" spans="1:7" ht="28.5" customHeight="1">
      <c r="A27" s="6"/>
      <c r="B27" s="2" t="s">
        <v>57</v>
      </c>
      <c r="C27" s="2" t="s">
        <v>10</v>
      </c>
      <c r="D27" s="12" t="s">
        <v>154</v>
      </c>
      <c r="E27" s="2" t="s">
        <v>58</v>
      </c>
      <c r="F27" s="10">
        <v>0.5</v>
      </c>
      <c r="G27" s="6"/>
    </row>
    <row r="28" spans="1:7" ht="20.100000000000001" customHeight="1">
      <c r="A28" s="6"/>
      <c r="B28" s="6"/>
      <c r="C28" s="2" t="s">
        <v>10</v>
      </c>
      <c r="D28" s="12" t="s">
        <v>59</v>
      </c>
      <c r="E28" s="2" t="s">
        <v>60</v>
      </c>
      <c r="F28" s="10">
        <v>1.75</v>
      </c>
      <c r="G28" s="6"/>
    </row>
    <row r="29" spans="1:7" ht="20.100000000000001" customHeight="1">
      <c r="A29" s="6"/>
      <c r="B29" s="6"/>
      <c r="C29" s="2" t="s">
        <v>10</v>
      </c>
      <c r="D29" s="2" t="s">
        <v>158</v>
      </c>
      <c r="E29" s="2" t="s">
        <v>61</v>
      </c>
      <c r="F29" s="10">
        <v>1.75</v>
      </c>
      <c r="G29" s="6"/>
    </row>
    <row r="30" spans="1:7" ht="35.1" customHeight="1">
      <c r="A30" s="3" t="s">
        <v>62</v>
      </c>
      <c r="B30" s="28" t="s">
        <v>63</v>
      </c>
      <c r="C30" s="29"/>
      <c r="D30" s="29"/>
      <c r="E30" s="30"/>
      <c r="F30" s="4">
        <v>5</v>
      </c>
      <c r="G30" s="5"/>
    </row>
    <row r="31" spans="1:7" ht="20.100000000000001" customHeight="1">
      <c r="A31" s="6"/>
      <c r="B31" s="6"/>
      <c r="C31" s="2" t="s">
        <v>64</v>
      </c>
      <c r="D31" s="31" t="s">
        <v>159</v>
      </c>
      <c r="E31" s="2" t="s">
        <v>12</v>
      </c>
      <c r="F31" s="10">
        <v>1</v>
      </c>
      <c r="G31" s="6"/>
    </row>
    <row r="32" spans="1:7" ht="20.100000000000001" customHeight="1">
      <c r="A32" s="6"/>
      <c r="B32" s="6"/>
      <c r="C32" s="2" t="s">
        <v>64</v>
      </c>
      <c r="D32" s="31" t="s">
        <v>160</v>
      </c>
      <c r="E32" s="2" t="s">
        <v>12</v>
      </c>
      <c r="F32" s="10">
        <v>2</v>
      </c>
      <c r="G32" s="6"/>
    </row>
    <row r="33" spans="1:7" ht="20.100000000000001" customHeight="1">
      <c r="A33" s="6"/>
      <c r="B33" s="6"/>
      <c r="C33" s="2" t="s">
        <v>64</v>
      </c>
      <c r="D33" s="31" t="s">
        <v>161</v>
      </c>
      <c r="E33" s="2" t="s">
        <v>12</v>
      </c>
      <c r="F33" s="10">
        <v>2</v>
      </c>
      <c r="G33" s="6"/>
    </row>
    <row r="34" spans="1:7" ht="35.1" customHeight="1">
      <c r="A34" s="3" t="s">
        <v>65</v>
      </c>
      <c r="B34" s="28" t="s">
        <v>66</v>
      </c>
      <c r="C34" s="29"/>
      <c r="D34" s="29"/>
      <c r="E34" s="30"/>
      <c r="F34" s="4">
        <v>4</v>
      </c>
      <c r="G34" s="5"/>
    </row>
    <row r="35" spans="1:7" ht="27.75" customHeight="1">
      <c r="A35" s="6"/>
      <c r="B35" s="6"/>
      <c r="C35" s="2" t="s">
        <v>10</v>
      </c>
      <c r="D35" s="2" t="s">
        <v>67</v>
      </c>
      <c r="E35" s="2" t="s">
        <v>68</v>
      </c>
      <c r="F35" s="10">
        <v>1</v>
      </c>
      <c r="G35" s="6"/>
    </row>
    <row r="36" spans="1:7" ht="20.100000000000001" customHeight="1">
      <c r="A36" s="6"/>
      <c r="B36" s="6"/>
      <c r="C36" s="2" t="s">
        <v>10</v>
      </c>
      <c r="D36" s="2" t="s">
        <v>69</v>
      </c>
      <c r="E36" s="2" t="s">
        <v>70</v>
      </c>
      <c r="F36" s="10">
        <v>1</v>
      </c>
      <c r="G36" s="6"/>
    </row>
    <row r="37" spans="1:7" ht="20.100000000000001" customHeight="1">
      <c r="A37" s="6"/>
      <c r="B37" s="6"/>
      <c r="C37" s="2" t="s">
        <v>10</v>
      </c>
      <c r="D37" s="2" t="s">
        <v>71</v>
      </c>
      <c r="E37" s="2" t="s">
        <v>12</v>
      </c>
      <c r="F37" s="10">
        <v>2</v>
      </c>
      <c r="G37" s="6"/>
    </row>
    <row r="38" spans="1:7" ht="35.1" customHeight="1">
      <c r="A38" s="3" t="s">
        <v>72</v>
      </c>
      <c r="B38" s="28" t="s">
        <v>73</v>
      </c>
      <c r="C38" s="29"/>
      <c r="D38" s="29"/>
      <c r="E38" s="30"/>
      <c r="F38" s="4">
        <v>5</v>
      </c>
      <c r="G38" s="5"/>
    </row>
    <row r="39" spans="1:7" ht="20.100000000000001" customHeight="1">
      <c r="A39" s="6"/>
      <c r="B39" s="6"/>
      <c r="C39" s="2" t="s">
        <v>10</v>
      </c>
      <c r="D39" s="2" t="s">
        <v>74</v>
      </c>
      <c r="E39" s="2" t="s">
        <v>12</v>
      </c>
      <c r="F39" s="10">
        <v>1</v>
      </c>
      <c r="G39" s="6"/>
    </row>
    <row r="40" spans="1:7" ht="20.100000000000001" customHeight="1">
      <c r="A40" s="13"/>
      <c r="B40" s="13"/>
      <c r="C40" s="14" t="s">
        <v>10</v>
      </c>
      <c r="D40" s="14" t="s">
        <v>75</v>
      </c>
      <c r="E40" s="15" t="s">
        <v>12</v>
      </c>
      <c r="F40" s="16">
        <v>3</v>
      </c>
      <c r="G40" s="13"/>
    </row>
    <row r="41" spans="1:7" ht="37.5" customHeight="1">
      <c r="A41" s="13"/>
      <c r="B41" s="13"/>
      <c r="C41" s="14" t="s">
        <v>10</v>
      </c>
      <c r="D41" s="15" t="s">
        <v>76</v>
      </c>
      <c r="E41" s="15" t="s">
        <v>156</v>
      </c>
      <c r="F41" s="16">
        <v>1</v>
      </c>
      <c r="G41" s="13"/>
    </row>
    <row r="42" spans="1:7" ht="35.1" customHeight="1">
      <c r="A42" s="3" t="s">
        <v>77</v>
      </c>
      <c r="B42" s="28" t="s">
        <v>78</v>
      </c>
      <c r="C42" s="29"/>
      <c r="D42" s="29"/>
      <c r="E42" s="30"/>
      <c r="F42" s="4">
        <v>5</v>
      </c>
      <c r="G42" s="5"/>
    </row>
    <row r="43" spans="1:7" ht="20.100000000000001" customHeight="1">
      <c r="A43" s="17"/>
      <c r="B43" s="18"/>
      <c r="C43" s="19" t="s">
        <v>10</v>
      </c>
      <c r="D43" s="19" t="s">
        <v>79</v>
      </c>
      <c r="E43" s="19" t="s">
        <v>80</v>
      </c>
      <c r="F43" s="20">
        <v>1</v>
      </c>
      <c r="G43" s="18"/>
    </row>
    <row r="44" spans="1:7" ht="39" customHeight="1">
      <c r="A44" s="21"/>
      <c r="B44" s="22"/>
      <c r="C44" s="23" t="s">
        <v>10</v>
      </c>
      <c r="D44" s="23" t="s">
        <v>81</v>
      </c>
      <c r="E44" s="23" t="s">
        <v>82</v>
      </c>
      <c r="F44" s="24">
        <v>1</v>
      </c>
      <c r="G44" s="22"/>
    </row>
    <row r="45" spans="1:7" ht="20.100000000000001" customHeight="1">
      <c r="A45" s="21"/>
      <c r="B45" s="22"/>
      <c r="C45" s="23" t="s">
        <v>10</v>
      </c>
      <c r="D45" s="23" t="s">
        <v>83</v>
      </c>
      <c r="E45" s="23" t="s">
        <v>84</v>
      </c>
      <c r="F45" s="24">
        <v>1</v>
      </c>
      <c r="G45" s="22"/>
    </row>
    <row r="46" spans="1:7" ht="27.75" customHeight="1">
      <c r="A46" s="21"/>
      <c r="B46" s="22"/>
      <c r="C46" s="23" t="s">
        <v>10</v>
      </c>
      <c r="D46" s="23" t="s">
        <v>85</v>
      </c>
      <c r="E46" s="23" t="s">
        <v>86</v>
      </c>
      <c r="F46" s="24">
        <v>1</v>
      </c>
      <c r="G46" s="22"/>
    </row>
    <row r="47" spans="1:7" ht="20.100000000000001" customHeight="1">
      <c r="A47" s="21"/>
      <c r="B47" s="22"/>
      <c r="C47" s="23" t="s">
        <v>10</v>
      </c>
      <c r="D47" s="23" t="s">
        <v>87</v>
      </c>
      <c r="E47" s="23" t="s">
        <v>88</v>
      </c>
      <c r="F47" s="24">
        <v>1</v>
      </c>
      <c r="G47" s="22"/>
    </row>
    <row r="48" spans="1:7" ht="35.1" customHeight="1">
      <c r="A48" s="3" t="s">
        <v>89</v>
      </c>
      <c r="B48" s="28" t="s">
        <v>90</v>
      </c>
      <c r="C48" s="29"/>
      <c r="D48" s="29"/>
      <c r="E48" s="30"/>
      <c r="F48" s="4">
        <v>5</v>
      </c>
      <c r="G48" s="5"/>
    </row>
    <row r="49" spans="1:7" ht="27.75" customHeight="1">
      <c r="A49" s="6"/>
      <c r="B49" s="6"/>
      <c r="C49" s="2" t="s">
        <v>10</v>
      </c>
      <c r="D49" s="2" t="s">
        <v>91</v>
      </c>
      <c r="E49" s="2" t="s">
        <v>92</v>
      </c>
      <c r="F49" s="10">
        <v>1</v>
      </c>
      <c r="G49" s="6"/>
    </row>
    <row r="50" spans="1:7" ht="33" customHeight="1">
      <c r="A50" s="6"/>
      <c r="B50" s="6"/>
      <c r="C50" s="2" t="s">
        <v>10</v>
      </c>
      <c r="D50" s="2" t="s">
        <v>93</v>
      </c>
      <c r="E50" s="2" t="s">
        <v>94</v>
      </c>
      <c r="F50" s="10">
        <v>1</v>
      </c>
      <c r="G50" s="6"/>
    </row>
    <row r="51" spans="1:7" ht="32.25" customHeight="1">
      <c r="A51" s="6"/>
      <c r="B51" s="6"/>
      <c r="C51" s="2" t="s">
        <v>10</v>
      </c>
      <c r="D51" s="2" t="s">
        <v>95</v>
      </c>
      <c r="E51" s="2" t="s">
        <v>96</v>
      </c>
      <c r="F51" s="10">
        <v>1</v>
      </c>
      <c r="G51" s="6"/>
    </row>
    <row r="52" spans="1:7" ht="37.5" customHeight="1">
      <c r="A52" s="6"/>
      <c r="B52" s="6"/>
      <c r="C52" s="2" t="s">
        <v>10</v>
      </c>
      <c r="D52" s="2" t="s">
        <v>97</v>
      </c>
      <c r="E52" s="2" t="s">
        <v>98</v>
      </c>
      <c r="F52" s="10">
        <v>1</v>
      </c>
      <c r="G52" s="6"/>
    </row>
    <row r="53" spans="1:7" ht="38.25" customHeight="1">
      <c r="A53" s="6"/>
      <c r="B53" s="6"/>
      <c r="C53" s="2" t="s">
        <v>10</v>
      </c>
      <c r="D53" s="2" t="s">
        <v>99</v>
      </c>
      <c r="E53" s="2" t="s">
        <v>100</v>
      </c>
      <c r="F53" s="10">
        <v>1</v>
      </c>
      <c r="G53" s="6"/>
    </row>
    <row r="54" spans="1:7" ht="35.1" customHeight="1">
      <c r="A54" s="3" t="s">
        <v>101</v>
      </c>
      <c r="B54" s="28" t="s">
        <v>102</v>
      </c>
      <c r="C54" s="29"/>
      <c r="D54" s="29"/>
      <c r="E54" s="30"/>
      <c r="F54" s="4">
        <v>5</v>
      </c>
      <c r="G54" s="5"/>
    </row>
    <row r="55" spans="1:7" ht="33" customHeight="1">
      <c r="A55" s="6"/>
      <c r="B55" s="6"/>
      <c r="C55" s="2" t="s">
        <v>10</v>
      </c>
      <c r="D55" s="2" t="s">
        <v>103</v>
      </c>
      <c r="E55" s="2" t="s">
        <v>104</v>
      </c>
      <c r="F55" s="10">
        <v>1</v>
      </c>
      <c r="G55" s="6"/>
    </row>
    <row r="56" spans="1:7" ht="39" customHeight="1">
      <c r="A56" s="6"/>
      <c r="B56" s="6"/>
      <c r="C56" s="2" t="s">
        <v>10</v>
      </c>
      <c r="D56" s="2" t="s">
        <v>105</v>
      </c>
      <c r="E56" s="2" t="s">
        <v>106</v>
      </c>
      <c r="F56" s="10">
        <v>1</v>
      </c>
      <c r="G56" s="6"/>
    </row>
    <row r="57" spans="1:7" ht="29.25" customHeight="1">
      <c r="A57" s="6"/>
      <c r="B57" s="6"/>
      <c r="C57" s="2" t="s">
        <v>10</v>
      </c>
      <c r="D57" s="2" t="s">
        <v>107</v>
      </c>
      <c r="E57" s="2" t="s">
        <v>108</v>
      </c>
      <c r="F57" s="10">
        <v>2</v>
      </c>
      <c r="G57" s="6"/>
    </row>
    <row r="58" spans="1:7" ht="35.25" customHeight="1">
      <c r="A58" s="6"/>
      <c r="B58" s="6"/>
      <c r="C58" s="2" t="s">
        <v>10</v>
      </c>
      <c r="D58" s="2" t="s">
        <v>109</v>
      </c>
      <c r="E58" s="2" t="s">
        <v>110</v>
      </c>
      <c r="F58" s="10">
        <v>1</v>
      </c>
      <c r="G58" s="6"/>
    </row>
    <row r="59" spans="1:7" ht="35.1" customHeight="1">
      <c r="A59" s="3" t="s">
        <v>111</v>
      </c>
      <c r="B59" s="28" t="s">
        <v>112</v>
      </c>
      <c r="C59" s="29"/>
      <c r="D59" s="29"/>
      <c r="E59" s="30"/>
      <c r="F59" s="4">
        <v>4</v>
      </c>
      <c r="G59" s="5"/>
    </row>
    <row r="60" spans="1:7" ht="30.75" customHeight="1">
      <c r="A60" s="6"/>
      <c r="B60" s="6"/>
      <c r="C60" s="2" t="s">
        <v>10</v>
      </c>
      <c r="D60" s="2" t="s">
        <v>113</v>
      </c>
      <c r="E60" s="2" t="s">
        <v>114</v>
      </c>
      <c r="F60" s="10">
        <v>0.5</v>
      </c>
      <c r="G60" s="6"/>
    </row>
    <row r="61" spans="1:7" ht="20.100000000000001" customHeight="1">
      <c r="A61" s="6"/>
      <c r="B61" s="6"/>
      <c r="C61" s="2" t="s">
        <v>10</v>
      </c>
      <c r="D61" s="2" t="s">
        <v>115</v>
      </c>
      <c r="E61" s="2" t="s">
        <v>116</v>
      </c>
      <c r="F61" s="10">
        <v>0.5</v>
      </c>
      <c r="G61" s="6"/>
    </row>
    <row r="62" spans="1:7" ht="20.100000000000001" customHeight="1">
      <c r="A62" s="6"/>
      <c r="B62" s="6"/>
      <c r="C62" s="2" t="s">
        <v>10</v>
      </c>
      <c r="D62" s="2" t="s">
        <v>117</v>
      </c>
      <c r="E62" s="2" t="s">
        <v>118</v>
      </c>
      <c r="F62" s="10">
        <v>0.5</v>
      </c>
      <c r="G62" s="6"/>
    </row>
    <row r="63" spans="1:7" ht="20.100000000000001" customHeight="1">
      <c r="A63" s="6"/>
      <c r="B63" s="6"/>
      <c r="C63" s="2" t="s">
        <v>10</v>
      </c>
      <c r="D63" s="2" t="s">
        <v>119</v>
      </c>
      <c r="E63" s="2" t="s">
        <v>120</v>
      </c>
      <c r="F63" s="10">
        <v>0.5</v>
      </c>
      <c r="G63" s="6"/>
    </row>
    <row r="64" spans="1:7" ht="44.25" customHeight="1">
      <c r="A64" s="6"/>
      <c r="B64" s="6"/>
      <c r="C64" s="2" t="s">
        <v>10</v>
      </c>
      <c r="D64" s="12" t="s">
        <v>121</v>
      </c>
      <c r="E64" s="2" t="s">
        <v>12</v>
      </c>
      <c r="F64" s="10">
        <v>2</v>
      </c>
      <c r="G64" s="6"/>
    </row>
    <row r="65" spans="1:7" ht="35.1" customHeight="1">
      <c r="A65" s="3" t="s">
        <v>122</v>
      </c>
      <c r="B65" s="28" t="s">
        <v>123</v>
      </c>
      <c r="C65" s="29"/>
      <c r="D65" s="29"/>
      <c r="E65" s="30"/>
      <c r="F65" s="4">
        <v>12</v>
      </c>
      <c r="G65" s="5"/>
    </row>
    <row r="66" spans="1:7" ht="20.100000000000001" customHeight="1">
      <c r="A66" s="6"/>
      <c r="B66" s="6"/>
      <c r="C66" s="2" t="s">
        <v>10</v>
      </c>
      <c r="D66" s="2" t="s">
        <v>124</v>
      </c>
      <c r="E66" s="2" t="s">
        <v>125</v>
      </c>
      <c r="F66" s="10">
        <v>0.5</v>
      </c>
      <c r="G66" s="6"/>
    </row>
    <row r="67" spans="1:7" ht="54" customHeight="1">
      <c r="A67" s="6"/>
      <c r="B67" s="6"/>
      <c r="C67" s="2" t="s">
        <v>10</v>
      </c>
      <c r="D67" s="2" t="s">
        <v>126</v>
      </c>
      <c r="E67" s="2" t="s">
        <v>12</v>
      </c>
      <c r="F67" s="10">
        <v>4.5</v>
      </c>
      <c r="G67" s="6"/>
    </row>
    <row r="68" spans="1:7" ht="27.75" customHeight="1">
      <c r="A68" s="6"/>
      <c r="B68" s="6"/>
      <c r="C68" s="2" t="s">
        <v>10</v>
      </c>
      <c r="D68" s="2" t="s">
        <v>127</v>
      </c>
      <c r="E68" s="2" t="s">
        <v>12</v>
      </c>
      <c r="F68" s="10">
        <v>2</v>
      </c>
      <c r="G68" s="6"/>
    </row>
    <row r="69" spans="1:7" ht="31.5" customHeight="1">
      <c r="A69" s="6"/>
      <c r="B69" s="6"/>
      <c r="C69" s="2" t="s">
        <v>10</v>
      </c>
      <c r="D69" s="2" t="s">
        <v>128</v>
      </c>
      <c r="E69" s="2" t="s">
        <v>12</v>
      </c>
      <c r="F69" s="10">
        <v>1.5</v>
      </c>
      <c r="G69" s="6"/>
    </row>
    <row r="70" spans="1:7" ht="30" customHeight="1">
      <c r="A70" s="6"/>
      <c r="B70" s="6"/>
      <c r="C70" s="2" t="s">
        <v>10</v>
      </c>
      <c r="D70" s="2" t="s">
        <v>129</v>
      </c>
      <c r="E70" s="2" t="s">
        <v>12</v>
      </c>
      <c r="F70" s="10">
        <v>3</v>
      </c>
      <c r="G70" s="6"/>
    </row>
    <row r="71" spans="1:7" ht="20.100000000000001" customHeight="1">
      <c r="A71" s="6"/>
      <c r="B71" s="6"/>
      <c r="C71" s="2" t="s">
        <v>10</v>
      </c>
      <c r="D71" s="1" t="s">
        <v>130</v>
      </c>
      <c r="E71" s="2" t="s">
        <v>131</v>
      </c>
      <c r="F71" s="10">
        <v>0.5</v>
      </c>
      <c r="G71" s="6"/>
    </row>
    <row r="72" spans="1:7" ht="35.1" customHeight="1">
      <c r="A72" s="3" t="s">
        <v>132</v>
      </c>
      <c r="B72" s="28" t="s">
        <v>133</v>
      </c>
      <c r="C72" s="29"/>
      <c r="D72" s="29"/>
      <c r="E72" s="30"/>
      <c r="F72" s="4">
        <v>10</v>
      </c>
      <c r="G72" s="5"/>
    </row>
    <row r="73" spans="1:7" ht="16.5">
      <c r="A73" s="6"/>
      <c r="B73" s="6"/>
      <c r="C73" s="2" t="s">
        <v>10</v>
      </c>
      <c r="D73" s="1" t="s">
        <v>134</v>
      </c>
      <c r="E73" s="1" t="s">
        <v>12</v>
      </c>
      <c r="F73" s="10">
        <v>1</v>
      </c>
      <c r="G73" s="6"/>
    </row>
    <row r="74" spans="1:7" ht="25.5">
      <c r="A74" s="6"/>
      <c r="B74" s="6"/>
      <c r="C74" s="2" t="s">
        <v>10</v>
      </c>
      <c r="D74" s="12" t="s">
        <v>135</v>
      </c>
      <c r="E74" s="1" t="s">
        <v>12</v>
      </c>
      <c r="F74" s="10">
        <v>2.5</v>
      </c>
      <c r="G74" s="6"/>
    </row>
    <row r="75" spans="1:7" ht="25.5">
      <c r="A75" s="6"/>
      <c r="B75" s="6"/>
      <c r="C75" s="2" t="s">
        <v>10</v>
      </c>
      <c r="D75" s="12" t="s">
        <v>136</v>
      </c>
      <c r="E75" s="1" t="s">
        <v>12</v>
      </c>
      <c r="F75" s="10">
        <v>2.5</v>
      </c>
      <c r="G75" s="6"/>
    </row>
    <row r="76" spans="1:7" ht="38.25">
      <c r="A76" s="6"/>
      <c r="B76" s="6"/>
      <c r="C76" s="15" t="s">
        <v>10</v>
      </c>
      <c r="D76" s="12" t="s">
        <v>137</v>
      </c>
      <c r="E76" s="1" t="s">
        <v>12</v>
      </c>
      <c r="F76" s="10">
        <v>1.5</v>
      </c>
      <c r="G76" s="6"/>
    </row>
    <row r="77" spans="1:7" ht="38.25">
      <c r="A77" s="6"/>
      <c r="B77" s="6"/>
      <c r="C77" s="2" t="s">
        <v>10</v>
      </c>
      <c r="D77" s="12" t="s">
        <v>138</v>
      </c>
      <c r="E77" s="1" t="s">
        <v>12</v>
      </c>
      <c r="F77" s="10">
        <v>1.5</v>
      </c>
      <c r="G77" s="6"/>
    </row>
    <row r="78" spans="1:7" ht="25.5">
      <c r="A78" s="6"/>
      <c r="B78" s="6"/>
      <c r="C78" s="2" t="s">
        <v>10</v>
      </c>
      <c r="D78" s="2" t="s">
        <v>139</v>
      </c>
      <c r="E78" s="1" t="s">
        <v>12</v>
      </c>
      <c r="F78" s="10">
        <v>0.5</v>
      </c>
      <c r="G78" s="6"/>
    </row>
    <row r="79" spans="1:7" ht="16.5">
      <c r="A79" s="6"/>
      <c r="B79" s="6"/>
      <c r="C79" s="2" t="s">
        <v>10</v>
      </c>
      <c r="D79" s="1" t="s">
        <v>140</v>
      </c>
      <c r="E79" s="1" t="s">
        <v>141</v>
      </c>
      <c r="F79" s="10">
        <v>0.5</v>
      </c>
      <c r="G79" s="6"/>
    </row>
    <row r="80" spans="1:7" ht="35.1" customHeight="1">
      <c r="A80" s="3" t="s">
        <v>142</v>
      </c>
      <c r="B80" s="28" t="s">
        <v>143</v>
      </c>
      <c r="C80" s="29"/>
      <c r="D80" s="29"/>
      <c r="E80" s="30"/>
      <c r="F80" s="4">
        <v>10</v>
      </c>
      <c r="G80" s="5"/>
    </row>
    <row r="81" spans="1:7" ht="29.25" customHeight="1">
      <c r="A81" s="6"/>
      <c r="B81" s="6"/>
      <c r="C81" s="2" t="s">
        <v>10</v>
      </c>
      <c r="D81" s="2" t="s">
        <v>144</v>
      </c>
      <c r="E81" s="2" t="s">
        <v>145</v>
      </c>
      <c r="F81" s="10">
        <v>0.5</v>
      </c>
      <c r="G81" s="6"/>
    </row>
    <row r="82" spans="1:7" ht="20.100000000000001" customHeight="1">
      <c r="A82" s="6"/>
      <c r="B82" s="6"/>
      <c r="C82" s="2" t="s">
        <v>10</v>
      </c>
      <c r="D82" s="2" t="s">
        <v>155</v>
      </c>
      <c r="E82" s="2" t="s">
        <v>12</v>
      </c>
      <c r="F82" s="10">
        <v>0.5</v>
      </c>
      <c r="G82" s="6"/>
    </row>
    <row r="83" spans="1:7" ht="20.100000000000001" customHeight="1">
      <c r="A83" s="6"/>
      <c r="B83" s="6"/>
      <c r="C83" s="2" t="s">
        <v>10</v>
      </c>
      <c r="D83" s="2" t="s">
        <v>146</v>
      </c>
      <c r="E83" s="2" t="s">
        <v>12</v>
      </c>
      <c r="F83" s="10">
        <v>1</v>
      </c>
      <c r="G83" s="6"/>
    </row>
    <row r="84" spans="1:7" ht="20.100000000000001" customHeight="1">
      <c r="A84" s="13"/>
      <c r="B84" s="13"/>
      <c r="C84" s="15" t="s">
        <v>10</v>
      </c>
      <c r="D84" s="15" t="s">
        <v>147</v>
      </c>
      <c r="E84" s="15" t="s">
        <v>12</v>
      </c>
      <c r="F84" s="16">
        <v>1</v>
      </c>
      <c r="G84" s="13"/>
    </row>
    <row r="85" spans="1:7" ht="27.75" customHeight="1">
      <c r="A85" s="6"/>
      <c r="B85" s="6"/>
      <c r="C85" s="2" t="s">
        <v>10</v>
      </c>
      <c r="D85" s="2" t="s">
        <v>148</v>
      </c>
      <c r="E85" s="2" t="s">
        <v>12</v>
      </c>
      <c r="F85" s="10">
        <v>3</v>
      </c>
      <c r="G85" s="6"/>
    </row>
    <row r="86" spans="1:7" ht="27" customHeight="1">
      <c r="A86" s="6"/>
      <c r="B86" s="6"/>
      <c r="C86" s="2" t="s">
        <v>10</v>
      </c>
      <c r="D86" s="12" t="s">
        <v>149</v>
      </c>
      <c r="E86" s="2" t="s">
        <v>12</v>
      </c>
      <c r="F86" s="10">
        <v>3.5</v>
      </c>
      <c r="G86" s="6"/>
    </row>
    <row r="87" spans="1:7" ht="34.5" customHeight="1">
      <c r="A87" s="6"/>
      <c r="B87" s="6"/>
      <c r="C87" s="2" t="s">
        <v>10</v>
      </c>
      <c r="D87" s="1" t="s">
        <v>150</v>
      </c>
      <c r="E87" s="2" t="s">
        <v>151</v>
      </c>
      <c r="F87" s="10">
        <v>0.5</v>
      </c>
      <c r="G87" s="6"/>
    </row>
    <row r="88" spans="1:7" ht="32.25" customHeight="1">
      <c r="A88" s="25" t="s">
        <v>152</v>
      </c>
      <c r="F88" s="26">
        <f>SUM(F2:F87)-100</f>
        <v>100</v>
      </c>
      <c r="G88" s="27">
        <f>SUM(F80,F72,F65,F59,F54,F48,F42,F38,F34,F30,F26,F19,F5,F2)</f>
        <v>100</v>
      </c>
    </row>
  </sheetData>
  <mergeCells count="14">
    <mergeCell ref="B59:E59"/>
    <mergeCell ref="B65:E65"/>
    <mergeCell ref="B72:E72"/>
    <mergeCell ref="B80:E80"/>
    <mergeCell ref="B5:E5"/>
    <mergeCell ref="B2:E2"/>
    <mergeCell ref="B42:E42"/>
    <mergeCell ref="B48:E48"/>
    <mergeCell ref="B54:E54"/>
    <mergeCell ref="B38:E38"/>
    <mergeCell ref="B34:E34"/>
    <mergeCell ref="B30:E30"/>
    <mergeCell ref="B26:E26"/>
    <mergeCell ref="B19:E19"/>
  </mergeCells>
  <phoneticPr fontId="15" type="noConversion"/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sheeta</vt:lpstr>
      <vt:lpstr>sheeta!Print_Area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Handoff</cp:lastModifiedBy>
  <dcterms:created xsi:type="dcterms:W3CDTF">2025-12-01T15:43:34Z</dcterms:created>
  <dcterms:modified xsi:type="dcterms:W3CDTF">2025-12-02T02:42:42Z</dcterms:modified>
</cp:coreProperties>
</file>