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评分表" sheetId="1" r:id="rId1"/>
  </sheets>
  <definedNames>
    <definedName name="_xlnm.Print_Titles" localSheetId="0">评分表!$1:$1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<sst xmlns="http://schemas.openxmlformats.org/spreadsheetml/2006/main" count="114" uniqueCount="75">
  <si>
    <t>模块</t>
  </si>
  <si>
    <t>模块内容</t>
  </si>
  <si>
    <t>M=测量分J=评价分</t>
  </si>
  <si>
    <t>测量或评价内容</t>
  </si>
  <si>
    <t>测量依据</t>
  </si>
  <si>
    <t>最高分</t>
  </si>
  <si>
    <t>得分</t>
  </si>
  <si>
    <t>A</t>
  </si>
  <si>
    <t>理论测试（竞赛平台）</t>
  </si>
  <si>
    <t>平台测试成绩折算</t>
  </si>
  <si>
    <t>M</t>
  </si>
  <si>
    <t>竞赛平台理论测试卷面满分100分，按技术文件折算计入总成绩：模块A得分＝平台卷面得分×0.30（保留两位小数，四舍五入）。题型题量以平台及赛前公布为准（0721参考：单选40+多选30+判断30）。</t>
  </si>
  <si>
    <t>平台导出成绩</t>
  </si>
  <si>
    <t>B</t>
  </si>
  <si>
    <t>EDA工程设计</t>
  </si>
  <si>
    <t>评价分（合计20）</t>
  </si>
  <si>
    <t>J</t>
  </si>
  <si>
    <t>布局合理性：0～3档（无分组/基本分组/模块化清晰/专业美观EMC）。三名裁判独立给档后取平均，换算为满分10分：得分＝(平均档÷3)×10。</t>
  </si>
  <si>
    <t>现场/提交文件评审</t>
  </si>
  <si>
    <t>布线策略：0～3档（杂乱/基本整齐/策略明确/专业高速回流）。换算为满分10分：得分＝(平均档÷3)×10。</t>
  </si>
  <si>
    <t>测量分（合计5）</t>
  </si>
  <si>
    <t>DRC检查：无错误或违规数在允许范围内；有致命错误不得分。</t>
  </si>
  <si>
    <t>EDA软件DRC</t>
  </si>
  <si>
    <t>网络连通/网表一致性：关键网络连通，原理图与PCB一致；严重开路或错连不得分。</t>
  </si>
  <si>
    <t>工程文件检查</t>
  </si>
  <si>
    <t>Gerber完整性：规定层齐全、可正常打开；缺关键层按比例扣完为止。</t>
  </si>
  <si>
    <t>Gerber包</t>
  </si>
  <si>
    <t>提交规范：文件命名、目录、格式符合赛题要求。</t>
  </si>
  <si>
    <t>提交物检查</t>
  </si>
  <si>
    <t>C</t>
  </si>
  <si>
    <t>CAM审核与工艺文件编制</t>
  </si>
  <si>
    <t>缺陷识别（合计14）</t>
  </si>
  <si>
    <t>标准缺陷共12处（锁版《模块C_缺陷记录表-参考答案》）。每处最高1.0分：类型对+层/面对+位置可对应＝1.0；类型对+层对但位置含糊＝0.5；类型错/层错/指错＝0。</t>
  </si>
  <si>
    <t>缺陷记录表+标准答案</t>
  </si>
  <si>
    <t>无严重误报（2分）：不在标准清单且非同义描述的计误报；每处误报扣1.0分，扣完为止；不倒扣命中分。多写干扰项不另加分。</t>
  </si>
  <si>
    <t>缺陷记录表</t>
  </si>
  <si>
    <t>工艺卡（合计6）</t>
  </si>
  <si>
    <t>层数正确（双面/2层）。</t>
  </si>
  <si>
    <t>工艺卡+Gerbv</t>
  </si>
  <si>
    <t>外形尺寸（长×宽）与板框实测一致（允许合理误差，如±0.5mm或等价mil）。</t>
  </si>
  <si>
    <t>最小孔径与钻孔最小工具一致（如约12mil/0.30mm）。</t>
  </si>
  <si>
    <t>工艺卡+钻孔文件</t>
  </si>
  <si>
    <t>最小线宽与最小线距（正常区）合理；不得将故意缺陷极值填为规格。</t>
  </si>
  <si>
    <t>阻焊开窗方式表述正确（如1:1开窗）。</t>
  </si>
  <si>
    <t>工艺卡+阻焊/铜层对照</t>
  </si>
  <si>
    <t>文件完整性与事实一致（本套须指出缺少底层丝印GBO等）。</t>
  </si>
  <si>
    <t>工艺卡+文件包</t>
  </si>
  <si>
    <t>D</t>
  </si>
  <si>
    <t>成品板质量检测与缺陷分析</t>
  </si>
  <si>
    <t>外观缺陷（合计10）</t>
  </si>
  <si>
    <t>V01 走线颈缩（顶层）。顶层+颈缩/变窄类+位置大致正确；建议全对2/部分1/错0</t>
  </si>
  <si>
    <t>检测记录表+实物+标准答案</t>
  </si>
  <si>
    <t>V02 过孔内径过小（钻孔层）。钻孔层+内径过小+位置大致正确；非3.50mm定位孔误报</t>
  </si>
  <si>
    <t>V03 漏钻孔（钻孔层）。有丝印无钻孔+位置大致正确；非过孔误报</t>
  </si>
  <si>
    <t>V04 无法形成有效阻焊桥（顶层）。阻焊/桥类缺陷+位置大致正确</t>
  </si>
  <si>
    <t>V05 丝印缺失或压焊盘。丝印类缺陷+位置大致正确</t>
  </si>
  <si>
    <t>尺寸测量（合计7）</t>
  </si>
  <si>
    <t>M01 板长L。卡尺；名义80.00±0.20</t>
  </si>
  <si>
    <t>检测记录表+量具+锁版真值</t>
  </si>
  <si>
    <t>M02 板宽W。卡尺；名义60.00±0.20</t>
  </si>
  <si>
    <t>M03 板厚T。厚度规/千分尺；名义1.60±0.15</t>
  </si>
  <si>
    <t>M04 定位孔径。卡尺/孔规；名义3.50±0.10（本套板）</t>
  </si>
  <si>
    <t>M05 指定点线宽或线距。测量显微镜；以板面M05标识为准；±0.05；禁止仅用卡尺测细线</t>
  </si>
  <si>
    <t>基础电气（合计5）</t>
  </si>
  <si>
    <t>E01 TP1－TP2开路：判定开路且与预期一致（如≥1MΩ或OL）得2.5分，否则0分。</t>
  </si>
  <si>
    <t>万用表+标准答案</t>
  </si>
  <si>
    <t>E02 TP3－TP4短路：判定短路且与预期一致（如≤1Ω）得2.5分，否则0分。</t>
  </si>
  <si>
    <t>综合判定（合计2）</t>
  </si>
  <si>
    <t>分类汇总基本合理得1分；质量处置与依据正确得1分。存在走线颈缩（V01）、漏钻孔（V03）等严重影响使用的致命缺陷时应判报废，不得判接收。</t>
  </si>
  <si>
    <t>检测记录表D-5</t>
  </si>
  <si>
    <t>记录规范（合计1）</t>
  </si>
  <si>
    <t>版本丝印与实物一致、单位mm、表头完整、无姓名单位等身份信息得1分；明显缺项得0分。</t>
  </si>
  <si>
    <t>检测记录表</t>
  </si>
  <si>
    <t>总分</t>
  </si>
  <si>
    <t>说明：1.本表与技术工作文件0721定稿及第三套样题配套；总成绩A30+B25+C20+D25=100。2.M=测量分，J=评价分。3.各模块得分及总分保留两位小数，四舍五入。4.并列：先比操作技能(B+C+D)，再比D→C→B。5.模块D正式满分25分（不以40分计）。6.标准答案与尺寸/电气真值以赛前锁版及投板三测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</si>
</sst>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130" zoomScaleNormal="130" workbookViewId="0">
      <pane ySplit="1" topLeftCell="A29" activePane="bottomLeft" state="frozen"/>
      <selection/>
      <selection pane="bottomLeft" activeCell="E45" sqref="E45"/>
    </sheetView>
  </sheetViews>
  <sheetFormatPr defaultColWidth="9" defaultRowHeight="15.6" outlineLevelCol="6"/>
  <cols>
    <col min="1" max="1" width="8" style="1" customWidth="1"/>
    <col min="2" max="2" width="22" style="1" customWidth="1"/>
    <col min="3" max="3" width="16" style="1" customWidth="1"/>
    <col min="4" max="4" width="58" style="1" customWidth="1"/>
    <col min="5" max="5" width="18" style="1" customWidth="1"/>
    <col min="6" max="6" width="8" style="1" customWidth="1"/>
    <col min="7" max="7" width="9" style="1" customWidth="1"/>
    <col min="8" max="16384" width="9" style="1"/>
  </cols>
  <sheetData>
    <row r="1" ht="1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1.95" customHeight="1" spans="1:7">
      <c r="A2" s="3" t="s">
        <v>7</v>
      </c>
      <c r="B2" s="3" t="s">
        <v>8</v>
      </c>
      <c r="C2" s="4"/>
      <c r="D2" s="4"/>
      <c r="E2" s="5"/>
      <c r="F2" s="6">
        <v>30</v>
      </c>
      <c r="G2" s="7"/>
    </row>
    <row r="3" ht="54" customHeight="1" spans="1:7">
      <c r="A3" s="8"/>
      <c r="B3" s="2" t="s">
        <v>9</v>
      </c>
      <c r="C3" s="9" t="s">
        <v>10</v>
      </c>
      <c r="D3" s="10" t="s">
        <v>11</v>
      </c>
      <c r="E3" s="9" t="s">
        <v>12</v>
      </c>
      <c r="F3" s="11">
        <v>30</v>
      </c>
      <c r="G3" s="8"/>
    </row>
    <row r="4" ht="21.95" customHeight="1" spans="1:7">
      <c r="A4" s="3" t="s">
        <v>13</v>
      </c>
      <c r="B4" s="3" t="s">
        <v>14</v>
      </c>
      <c r="C4" s="4"/>
      <c r="D4" s="4"/>
      <c r="E4" s="5"/>
      <c r="F4" s="6">
        <v>25</v>
      </c>
      <c r="G4" s="7"/>
    </row>
    <row r="5" ht="42" customHeight="1" spans="1:7">
      <c r="A5" s="8"/>
      <c r="B5" s="2" t="s">
        <v>15</v>
      </c>
      <c r="C5" s="9" t="s">
        <v>16</v>
      </c>
      <c r="D5" s="10" t="s">
        <v>17</v>
      </c>
      <c r="E5" s="9" t="s">
        <v>18</v>
      </c>
      <c r="F5" s="11">
        <v>10</v>
      </c>
      <c r="G5" s="8"/>
    </row>
    <row r="6" ht="30" customHeight="1" spans="1:7">
      <c r="A6" s="8"/>
      <c r="B6" s="12"/>
      <c r="C6" s="9" t="s">
        <v>16</v>
      </c>
      <c r="D6" s="10" t="s">
        <v>19</v>
      </c>
      <c r="E6" s="9" t="s">
        <v>18</v>
      </c>
      <c r="F6" s="11">
        <v>10</v>
      </c>
      <c r="G6" s="8"/>
    </row>
    <row r="7" ht="30" customHeight="1" spans="1:7">
      <c r="A7" s="8"/>
      <c r="B7" s="2" t="s">
        <v>20</v>
      </c>
      <c r="C7" s="9" t="s">
        <v>10</v>
      </c>
      <c r="D7" s="10" t="s">
        <v>21</v>
      </c>
      <c r="E7" s="9" t="s">
        <v>22</v>
      </c>
      <c r="F7" s="11">
        <v>1.5</v>
      </c>
      <c r="G7" s="8"/>
    </row>
    <row r="8" ht="30" customHeight="1" spans="1:7">
      <c r="A8" s="8"/>
      <c r="B8" s="12"/>
      <c r="C8" s="9" t="s">
        <v>10</v>
      </c>
      <c r="D8" s="10" t="s">
        <v>23</v>
      </c>
      <c r="E8" s="9" t="s">
        <v>24</v>
      </c>
      <c r="F8" s="11">
        <v>1.5</v>
      </c>
      <c r="G8" s="8"/>
    </row>
    <row r="9" ht="30" customHeight="1" spans="1:7">
      <c r="A9" s="8"/>
      <c r="B9" s="12"/>
      <c r="C9" s="9" t="s">
        <v>10</v>
      </c>
      <c r="D9" s="10" t="s">
        <v>25</v>
      </c>
      <c r="E9" s="9" t="s">
        <v>26</v>
      </c>
      <c r="F9" s="11">
        <v>1</v>
      </c>
      <c r="G9" s="8"/>
    </row>
    <row r="10" ht="18" customHeight="1" spans="1:7">
      <c r="A10" s="8"/>
      <c r="B10" s="12"/>
      <c r="C10" s="9" t="s">
        <v>10</v>
      </c>
      <c r="D10" s="10" t="s">
        <v>27</v>
      </c>
      <c r="E10" s="9" t="s">
        <v>28</v>
      </c>
      <c r="F10" s="11">
        <v>1</v>
      </c>
      <c r="G10" s="8"/>
    </row>
    <row r="11" ht="21.95" customHeight="1" spans="1:7">
      <c r="A11" s="3" t="s">
        <v>29</v>
      </c>
      <c r="B11" s="3" t="s">
        <v>30</v>
      </c>
      <c r="C11" s="4"/>
      <c r="D11" s="4"/>
      <c r="E11" s="5"/>
      <c r="F11" s="6">
        <v>20</v>
      </c>
      <c r="G11" s="7"/>
    </row>
    <row r="12" ht="54" customHeight="1" spans="1:7">
      <c r="A12" s="8"/>
      <c r="B12" s="2" t="s">
        <v>31</v>
      </c>
      <c r="C12" s="9" t="s">
        <v>10</v>
      </c>
      <c r="D12" s="10" t="s">
        <v>32</v>
      </c>
      <c r="E12" s="9" t="s">
        <v>33</v>
      </c>
      <c r="F12" s="11">
        <v>12</v>
      </c>
      <c r="G12" s="8"/>
    </row>
    <row r="13" ht="42" customHeight="1" spans="1:7">
      <c r="A13" s="8"/>
      <c r="B13" s="12"/>
      <c r="C13" s="9" t="s">
        <v>10</v>
      </c>
      <c r="D13" s="10" t="s">
        <v>34</v>
      </c>
      <c r="E13" s="9" t="s">
        <v>35</v>
      </c>
      <c r="F13" s="11">
        <v>2</v>
      </c>
      <c r="G13" s="8"/>
    </row>
    <row r="14" ht="18" customHeight="1" spans="1:7">
      <c r="A14" s="8"/>
      <c r="B14" s="2" t="s">
        <v>36</v>
      </c>
      <c r="C14" s="9" t="s">
        <v>10</v>
      </c>
      <c r="D14" s="10" t="s">
        <v>37</v>
      </c>
      <c r="E14" s="9" t="s">
        <v>38</v>
      </c>
      <c r="F14" s="11">
        <v>1</v>
      </c>
      <c r="G14" s="8"/>
    </row>
    <row r="15" ht="30" customHeight="1" spans="1:7">
      <c r="A15" s="8"/>
      <c r="B15" s="12"/>
      <c r="C15" s="9" t="s">
        <v>10</v>
      </c>
      <c r="D15" s="10" t="s">
        <v>39</v>
      </c>
      <c r="E15" s="9" t="s">
        <v>38</v>
      </c>
      <c r="F15" s="11">
        <v>1</v>
      </c>
      <c r="G15" s="8"/>
    </row>
    <row r="16" ht="30" customHeight="1" spans="1:7">
      <c r="A16" s="8"/>
      <c r="B16" s="12"/>
      <c r="C16" s="9" t="s">
        <v>10</v>
      </c>
      <c r="D16" s="10" t="s">
        <v>40</v>
      </c>
      <c r="E16" s="9" t="s">
        <v>41</v>
      </c>
      <c r="F16" s="11">
        <v>1</v>
      </c>
      <c r="G16" s="8"/>
    </row>
    <row r="17" ht="30" customHeight="1" spans="1:7">
      <c r="A17" s="8"/>
      <c r="B17" s="12"/>
      <c r="C17" s="9" t="s">
        <v>10</v>
      </c>
      <c r="D17" s="10" t="s">
        <v>42</v>
      </c>
      <c r="E17" s="9" t="s">
        <v>38</v>
      </c>
      <c r="F17" s="11">
        <v>1</v>
      </c>
      <c r="G17" s="8"/>
    </row>
    <row r="18" ht="18" customHeight="1" spans="1:7">
      <c r="A18" s="8"/>
      <c r="B18" s="12"/>
      <c r="C18" s="9" t="s">
        <v>10</v>
      </c>
      <c r="D18" s="10" t="s">
        <v>43</v>
      </c>
      <c r="E18" s="9" t="s">
        <v>44</v>
      </c>
      <c r="F18" s="11">
        <v>1</v>
      </c>
      <c r="G18" s="8"/>
    </row>
    <row r="19" ht="30" customHeight="1" spans="1:7">
      <c r="A19" s="8"/>
      <c r="B19" s="12"/>
      <c r="C19" s="9" t="s">
        <v>10</v>
      </c>
      <c r="D19" s="10" t="s">
        <v>45</v>
      </c>
      <c r="E19" s="9" t="s">
        <v>46</v>
      </c>
      <c r="F19" s="11">
        <v>1</v>
      </c>
      <c r="G19" s="8"/>
    </row>
    <row r="20" ht="21.95" customHeight="1" spans="1:7">
      <c r="A20" s="3" t="s">
        <v>47</v>
      </c>
      <c r="B20" s="3" t="s">
        <v>48</v>
      </c>
      <c r="C20" s="4"/>
      <c r="D20" s="4"/>
      <c r="E20" s="5"/>
      <c r="F20" s="6">
        <v>25</v>
      </c>
      <c r="G20" s="7"/>
    </row>
    <row r="21" ht="30" customHeight="1" spans="1:7">
      <c r="A21" s="8"/>
      <c r="B21" s="2" t="s">
        <v>49</v>
      </c>
      <c r="C21" s="9" t="s">
        <v>10</v>
      </c>
      <c r="D21" s="10" t="s">
        <v>50</v>
      </c>
      <c r="E21" s="9" t="s">
        <v>51</v>
      </c>
      <c r="F21" s="11">
        <v>2</v>
      </c>
      <c r="G21" s="8"/>
    </row>
    <row r="22" ht="30" customHeight="1" spans="1:7">
      <c r="A22" s="8"/>
      <c r="B22" s="12"/>
      <c r="C22" s="9" t="s">
        <v>10</v>
      </c>
      <c r="D22" s="10" t="s">
        <v>52</v>
      </c>
      <c r="E22" s="9" t="s">
        <v>51</v>
      </c>
      <c r="F22" s="11">
        <v>2</v>
      </c>
      <c r="G22" s="8"/>
    </row>
    <row r="23" ht="30" customHeight="1" spans="1:7">
      <c r="A23" s="8"/>
      <c r="B23" s="12"/>
      <c r="C23" s="9" t="s">
        <v>10</v>
      </c>
      <c r="D23" s="10" t="s">
        <v>53</v>
      </c>
      <c r="E23" s="9" t="s">
        <v>51</v>
      </c>
      <c r="F23" s="11">
        <v>2</v>
      </c>
      <c r="G23" s="8"/>
    </row>
    <row r="24" ht="18" customHeight="1" spans="1:7">
      <c r="A24" s="8"/>
      <c r="B24" s="12"/>
      <c r="C24" s="9" t="s">
        <v>10</v>
      </c>
      <c r="D24" s="10" t="s">
        <v>54</v>
      </c>
      <c r="E24" s="9" t="s">
        <v>51</v>
      </c>
      <c r="F24" s="11">
        <v>2</v>
      </c>
      <c r="G24" s="8"/>
    </row>
    <row r="25" ht="18" customHeight="1" spans="1:7">
      <c r="A25" s="8"/>
      <c r="B25" s="12"/>
      <c r="C25" s="9" t="s">
        <v>10</v>
      </c>
      <c r="D25" s="10" t="s">
        <v>55</v>
      </c>
      <c r="E25" s="9" t="s">
        <v>51</v>
      </c>
      <c r="F25" s="11">
        <v>2</v>
      </c>
      <c r="G25" s="8"/>
    </row>
    <row r="26" ht="18" customHeight="1" spans="1:7">
      <c r="A26" s="8"/>
      <c r="B26" s="2" t="s">
        <v>56</v>
      </c>
      <c r="C26" s="9" t="s">
        <v>10</v>
      </c>
      <c r="D26" s="10" t="s">
        <v>57</v>
      </c>
      <c r="E26" s="9" t="s">
        <v>58</v>
      </c>
      <c r="F26" s="11">
        <v>1</v>
      </c>
      <c r="G26" s="8"/>
    </row>
    <row r="27" ht="18" customHeight="1" spans="1:7">
      <c r="A27" s="8"/>
      <c r="B27" s="12"/>
      <c r="C27" s="9" t="s">
        <v>10</v>
      </c>
      <c r="D27" s="10" t="s">
        <v>59</v>
      </c>
      <c r="E27" s="9" t="s">
        <v>58</v>
      </c>
      <c r="F27" s="11">
        <v>1</v>
      </c>
      <c r="G27" s="8"/>
    </row>
    <row r="28" ht="18" customHeight="1" spans="1:7">
      <c r="A28" s="8"/>
      <c r="B28" s="12"/>
      <c r="C28" s="9" t="s">
        <v>10</v>
      </c>
      <c r="D28" s="10" t="s">
        <v>60</v>
      </c>
      <c r="E28" s="9" t="s">
        <v>58</v>
      </c>
      <c r="F28" s="11">
        <v>1</v>
      </c>
      <c r="G28" s="8"/>
    </row>
    <row r="29" ht="30" customHeight="1" spans="1:7">
      <c r="A29" s="8"/>
      <c r="B29" s="12"/>
      <c r="C29" s="9" t="s">
        <v>10</v>
      </c>
      <c r="D29" s="10" t="s">
        <v>61</v>
      </c>
      <c r="E29" s="9" t="s">
        <v>58</v>
      </c>
      <c r="F29" s="11">
        <v>1</v>
      </c>
      <c r="G29" s="8"/>
    </row>
    <row r="30" ht="30" customHeight="1" spans="1:7">
      <c r="A30" s="8"/>
      <c r="B30" s="12"/>
      <c r="C30" s="9" t="s">
        <v>10</v>
      </c>
      <c r="D30" s="10" t="s">
        <v>62</v>
      </c>
      <c r="E30" s="9" t="s">
        <v>58</v>
      </c>
      <c r="F30" s="11">
        <v>3</v>
      </c>
      <c r="G30" s="8"/>
    </row>
    <row r="31" ht="30" customHeight="1" spans="1:7">
      <c r="A31" s="8"/>
      <c r="B31" s="2" t="s">
        <v>63</v>
      </c>
      <c r="C31" s="9" t="s">
        <v>10</v>
      </c>
      <c r="D31" s="10" t="s">
        <v>64</v>
      </c>
      <c r="E31" s="9" t="s">
        <v>65</v>
      </c>
      <c r="F31" s="11">
        <v>2.5</v>
      </c>
      <c r="G31" s="8"/>
    </row>
    <row r="32" ht="30" customHeight="1" spans="1:7">
      <c r="A32" s="8"/>
      <c r="B32" s="12"/>
      <c r="C32" s="9" t="s">
        <v>10</v>
      </c>
      <c r="D32" s="10" t="s">
        <v>66</v>
      </c>
      <c r="E32" s="9" t="s">
        <v>65</v>
      </c>
      <c r="F32" s="11">
        <v>2.5</v>
      </c>
      <c r="G32" s="8"/>
    </row>
    <row r="33" ht="30" customHeight="1" spans="1:7">
      <c r="A33" s="8"/>
      <c r="B33" s="2" t="s">
        <v>67</v>
      </c>
      <c r="C33" s="9" t="s">
        <v>16</v>
      </c>
      <c r="D33" s="10" t="s">
        <v>68</v>
      </c>
      <c r="E33" s="9" t="s">
        <v>69</v>
      </c>
      <c r="F33" s="11">
        <v>2</v>
      </c>
      <c r="G33" s="8"/>
    </row>
    <row r="34" ht="30" customHeight="1" spans="1:7">
      <c r="A34" s="8"/>
      <c r="B34" s="2" t="s">
        <v>70</v>
      </c>
      <c r="C34" s="9" t="s">
        <v>16</v>
      </c>
      <c r="D34" s="10" t="s">
        <v>71</v>
      </c>
      <c r="E34" s="9" t="s">
        <v>72</v>
      </c>
      <c r="F34" s="11">
        <v>1</v>
      </c>
      <c r="G34" s="8"/>
    </row>
    <row r="35" ht="21.95" customHeight="1" spans="1:7">
      <c r="A35" s="13" t="s">
        <v>73</v>
      </c>
      <c r="B35" s="11"/>
      <c r="C35" s="11"/>
      <c r="D35" s="11"/>
      <c r="E35" s="11"/>
      <c r="F35" s="11">
        <f>SUM(F2,F4,F11,F20)</f>
        <v>100</v>
      </c>
      <c r="G35" s="11">
        <f>SUM(G2:G34)</f>
        <v>0</v>
      </c>
    </row>
    <row r="37" ht="60" customHeight="1" spans="1:7">
      <c r="A37" s="14" t="s">
        <v>74</v>
      </c>
    </row>
  </sheetData>
  <mergeCells count="5">
    <mergeCell ref="B2:E2"/>
    <mergeCell ref="B4:E4"/>
    <mergeCell ref="B11:E11"/>
    <mergeCell ref="B20:E20"/>
    <mergeCell ref="A37:G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2026-07-23T07:00:00Z</dcterms:created>
  <dcterms:modified xsi:type="dcterms:W3CDTF">2026-08-03T02:09:10Z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4F42C59A40E24F769C23A87D3ABB7C27_12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