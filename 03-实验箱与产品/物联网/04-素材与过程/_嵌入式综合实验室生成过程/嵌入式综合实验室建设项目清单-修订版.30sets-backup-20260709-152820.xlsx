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anyun\物联网\"/>
    </mc:Choice>
  </mc:AlternateContent>
  <xr:revisionPtr revIDLastSave="0" documentId="13_ncr:1_{0DA61625-4889-42B9-BDBC-A6BB3A7A129B}" xr6:coauthVersionLast="47" xr6:coauthVersionMax="47" xr10:uidLastSave="{00000000-0000-0000-0000-000000000000}"/>
  <bookViews>
    <workbookView xWindow="-24098" yWindow="-3908" windowWidth="24196" windowHeight="14475" xr2:uid="{00000000-000D-0000-FFFF-FFFF00000000}"/>
  </bookViews>
  <sheets>
    <sheet name="项目清单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/>
  <c r="G9" i="1"/>
  <c r="G8" i="1"/>
  <c r="G7" i="1"/>
  <c r="G6" i="1"/>
  <c r="G5" i="1"/>
  <c r="G4" i="1"/>
  <c r="G3" i="1"/>
  <c r="G2" i="1"/>
  <c r="G13" i="1" s="1"/>
</calcChain>
</file>

<file path=xl/sharedStrings.xml><?xml version="1.0" encoding="utf-8"?>
<sst xmlns="http://schemas.openxmlformats.org/spreadsheetml/2006/main" count="41" uniqueCount="31">
  <si>
    <t>序号</t>
  </si>
  <si>
    <t>货物名称</t>
  </si>
  <si>
    <t>技术参数</t>
  </si>
  <si>
    <t>单位</t>
  </si>
  <si>
    <t>数量</t>
  </si>
  <si>
    <t>单价</t>
  </si>
  <si>
    <t>总价</t>
  </si>
  <si>
    <t>嵌入式综合实验箱（嵌入式综合实训设备）</t>
  </si>
  <si>
    <t>一、产品功能
1.实验箱采用便携式一体化结构，支持模块化快接、层叠互联和免跳线实验教学。
2.实验箱结构规格约420mm×325mm×150mm±10mm，适合桌面教学、分组实训、设备收纳及实训室集中管理。
3.实验箱能够满足嵌入式技术应用、物联网应用技术等相关专业的单片机开发、传感器应用、通信网络协议传输以及云平台部署等实训课程。
4 .实验箱由1个通用实验平台、9个功能实验平台组成，配有电源适配器、USB连接线、网线等配件。
5 .功能模块至少包含：嵌入式控制、OpenHarmony轻量设备开发、ZigBee无线传感网、中心网关多协议接入、环境采集、光照采集、开关量输出、本地触控可视化等实验。
6.至少包含9个同构通用模块接口位，各接口位电气接口、供电触点和通信触点保持一致，可将任意功能模块放置到任意接口位使用。
7.支持DC 12V直流输入，随机配备不低于12V/3A电源适配器；内部具备稳压、过流、短路等保护措施。
8 .上游数据接口采用USB Type-C接口，连接PC后可自动枚举不少于9个串口；各串口通道支持开启或关闭控制。
9 .提供电源状态、串口状态或模块运行状态指示，便于课堂调试和运行观察。
10 .支持STM32外设实验、OpenHarmony联网实验、ZigBee组网实验、中心网关协议接入实验、温湿度/光照采集实验、继电器控制实验和七寸触控本地看板实验。
11 .支持“采集-通信-平台-控制”闭环：传感器采集数据，经STM32或OpenHarmony芯片处理，通过ZigBee或中心网关上传平台，并通过继电器完成执行联动。
12 .支持平台标配模块在不同接口位完成供电、通信或调试，满足灵活摆放和分组实训使用。
13 .支持Modbus TCP/RTU、MQTT、ZigBee节点汇聚、本地触控配置、云平台数据可视化和真实设备/虚拟设备混合教学。
二、产品配置
1. STM32微控制器控制模块：采用STM32G0系列或同等级32位ARM Cortex-M0处理器，主频不低于64MHz；支持GPIO、UART、I2C、SPI、ADC、PWM、定时器、中断等基础外设实验；支持平台内部程序下载和串口调试；提供复位、BOOT配置或同等级调试配置。模块接口说明：提供平台统一快接触点接口，用于供电、程序下载、串口调试、数据通信或IO拓展；采用定位快接与层叠互联结构，模块就位后完成供电与信号连接，支持免跳线实验教学。
2 .OpenHarmony嵌入式模块：采用上海海思芯片/模组，支持OpenHarmony轻量设备开发，支持DevEco Studio工程开发、编译、烧录和运行；支持WiFi配网、设备上云、云端远程控制、GPIO/UART/I2C/SPI/PWM/ADC等外设调用；提供OpenHarmony智能家居、环境监测、设备联动等例程。模块接口说明：提供平台统一快接触点接口，用于供电、程序下载、串口调试、数据通信或IO拓展；采用定位快接与层叠互联结构，模块就位后完成供电与信号连接，支持免跳线实验教学。
3 .ZigBee网关模块：采用同等级ZigBee SoC芯片，支持2.4GHz IEEE 802.15.4无线通信，支持协调器功能；支持点播、组播、广播、自动组网及网络自愈；UART串口速率支持9600bps、19200bps、38400bps、115200bps等配置；支持传感节点数据汇聚、网关透传和本地串口调试。模块接口说明：提供平台统一快接触点接口，用于供电、程序下载、串口调试、数据通信或IO拓展；采用定位快接与层叠互联结构，模块就位后完成供电与信号连接，支持免跳线实验教学。
4 .ZigBee节点模块：采用同等级ZigBee SoC芯片，支持路由器或终端节点功能；支持节点入网、退网、地址分配、数据透传、低功耗节点实验、传感数据周期上报和异常触发上报；可与标配传感模块组合完成无线采集实验。模块接口说明：提供平台统一快接触点接口，用于供电、程序下载、串口调试、数据通信或IO拓展；采用定位快接与层叠互联结构，模块就位后完成供电与信号连接，支持免跳线实验教学。
5 .中心网关核心计算模块：作为平台内置网关计算单元，采用四核64位ARM Cortex-A72或同等级处理器，主频不低于1.5GHz；内存不低于4GB LPDDR4，存储不低于32GB高速存储；支持千兆以太网、2.4GHz/5GHz双频WiFi、Bluetooth 5.0/BLE或同等级近场通信；接口不少于2路USB3.0、2路USB2.0、1路HDMI或DSI显示接口、1组40Pin GPIO或同等级拓展接口；支持Linux或同等级嵌入式系统环境，支持Python、C/C++、Node-RED或同等级边缘应用开发；支持Modbus RTU、Modbus TCP、MQTT、HTTP/HTTPS、TCP/UDP、WebSocket等协议，支持通过ZigBee、LoRa等通信单元进行节点汇聚；支持设备注册、数据采集、协议转换、主题映射、数据缓存、断点续传、异常重连、本地规则联动和云平台接入。模块接口说明：提供平台统一快接触点接口，用于供电、程序下载、串口调试、数据通信或IO拓展；采用定位快接与层叠互联结构，模块就位后完成供电与信号连接，支持免跳线实验教学。
6. 空气温湿度传感器模块：采用同等级数字温湿度传感器；温度检测范围0-50°C，精度可达±0.5°C；湿度检测范围20%RH-95%RH，精度可达±2%RH；支持电容型湿度传感实验、湿度值脉冲信号输出，输出形式为数字量；支持温湿度采集、阈值报警和平台数据上报实验。模块接口说明：提供平台统一快接触点接口，用于供电、程序下载、串口调试、数据通信或IO拓展；采用定位快接与层叠互联结构，模块就位后完成供电与信号连接，支持免跳线实验教学。
7 .光照度传感器模块：采用数字光照传感器或同等级模拟型传感器；光照度检测范围0-65535lx；支持数字量数据读取，可支持模拟量或阈值开关量拓展；支持照度曲线、阈值判断和补光联动实验。模块接口说明：提供平台统一快接触点接口，用于供电、程序下载、串口调试、数据通信或IO拓展；采用定位快接与层叠互联结构，模块就位后完成供电与信号连接，支持免跳线实验教学。
8. 双路继电器执行器模块：采用5V控制继电器，实现双路开关量输出控制；继电器触点规格不低于3A/200VAC或3A/30VDC；提供NO、COM、NC输出端和双路状态指示灯，支持安全低压教学负载联动实验。模块接口说明：提供平台统一快接触点接口，用于供电、程序下载、串口调试、数据通信或IO拓展；采用定位快接与层叠互联结构，模块就位后完成供电与信号连接，支持免跳线实验教学。
9 .显示单元模块：配套不低于7英寸电容触摸显示屏，分辨率不低于1024×600，支持多点触控；亮度不低于300cd/m²或满足室内教学观察；接口支持HDMI/DSI显示及USB/I2C触控或同等级连接方式；可与中心网关核心计算模块组成本地交互终端，支持设备状态、传感数据、协议调试、MQTT主题、Modbus寄存器、ZigBee/LoRa节点状态、规则联动结果和边缘日志展示；支持桌面放置或嵌入式安装结构。模块接口说明：提供平台统一快接触点接口，用于供电、程序下载、串口调试、数据通信或IO拓展；采用定位快接与层叠互联结构，模块就位后完成供电与信号连接，支持免跳线实验教学。</t>
  </si>
  <si>
    <t>套</t>
  </si>
  <si>
    <t>主控开发包</t>
  </si>
  <si>
    <t>1 .STM32扩展控制模块：采用STM32G0系列或同等级32位ARM Cortex-M0处理器，主频不低于64MHz；提供Flash、SRAM、定时器、ADC、UART、I2C、SPI、PWM等资源；支持多控制器协同、复杂外设驱动、分布式采集、串口调试、程序下载和分组项目开发。
2 .OpenHarmony扩展模块：采用同等级嵌入式综合芯片，支持OpenHarmony轻量设备开发和DevEco Studio工程；支持WiFi配网、GPIO、UART、I2C、SPI、PWM、ADC等外设调用；用于OpenHarmony多节点协同、云端控制、设备联动和OpenHarmony嵌入式创新项目。
3 .ZigBee单片机模块：采用同等级ZigBee SoC芯片，具备8051内核、256KB Flash、8KB RAM及2.4GHz无线收发能力；支持ZigBee协议栈学习、节点固件开发、协调器/路由器/终端角色训练和串口透传实验。
4 .单片机接口拓展板：提供多路电源、IO、串口、调试及外设引出接口；支持3.3V/5V/GND、GPIO、UART、I2C、SPI、ADC、PWM等教学接线；用于接口测量、外设拓展、故障排查和二次开发实验。</t>
  </si>
  <si>
    <t>通信开发包</t>
  </si>
  <si>
    <t>1 .WiFi通信模块：支持2.4GHz 802.11 b/g/n无线标准，支持AP、STA或AP+STA工作模式；支持WEP、WPA-PSK、WPA2-PSK等安全模式；支持串口转无线TCP/UDP通信、AT指令配置、快速联网配置、MQTT/HTTP数据上报、远程控制和断线重连实验。
2. ZigBee节点扩展模块：采用同等级ZigBee SoC芯片，支持2.4GHz IEEE 802.15.4通信；支持协调器、路由器、终端角色配置；支持点播、组播、广播、自动组网、网络自愈、低功耗终端和多节点数据汇聚。
3. 4G通信模块：支持移动、联通、电信4G网络接入，支持标准SIM/物联网卡；串口波特率支持多档配置；支持TCP、UDP、HTTP、MQTT、心跳包、注册包、网络透传、断线重连、远程参数配置和远程数据上报。
4 .蓝牙通信模块：支持BLE通信，支持透传、设备发现、主从切换、低功耗广播、近距离移动终端交互和串口AT配置；可用于手机端调试、近场控制和低功耗通信实验。
5 .LoRa通信模块：支持远距离低功耗通信，支持点对点、一对多、定点发送、参数配置、低功耗模式和串口透传；用于农业园区、仓储园区、校园远距采集等实验。
6. NB-IoT或Cat.1通信模块：支持低功耗蜂窝物联网数据上报、远程参数配置、心跳包、注册包、断线重连和广域覆盖场景；支持与云平台进行数据上报和指令下发。</t>
  </si>
  <si>
    <t>传感器开发包</t>
  </si>
  <si>
    <t>1 .霍尔传感器模块：采用同等级霍尔磁感应器件，支持磁场检测、门磁状态检测、位置触发和计数实验；支持灵敏度调节和信号输出指示，输出形式为开关量或数字量。
2 .人体红外传感器模块：采用PIR或同等级人体红外感应器件，感应距离可达0-5m；支持人体移动检测、人员进入触发、安防布防/撤防和灯光联动实验，输出形式支持数字量。
3 .气体传感器模块：采用MQ系列或同等级气敏元件，支持烟雾、可燃气体或空气质量异常检测；检测浓度范围可覆盖300-10000ppm；支持模拟量/数字量输出、灵敏度调节和阈值报警。
4 .红外对射传感器模块：采用红外发射与接收对射结构，支持遮挡判断、通过计数、门禁/安防触发和平台报警联动；具备信号输出指示，输出形式为开关量或数字量。
5 .重量传感器模块：采用应变片式称重结构，配套同等级高精度A/D转换芯片；支持最大5kg称重测试、称重采集、去皮、标定、阈值判断和平台数据上报。
6 .火焰传感器模块：支持760nm-1100nm或同等级波段火焰检测，探测角度可达约60°；支持灵敏度调节、开关量输出、状态指示和安全预警实验。
7 .PM2.5传感器模块：采用光学灰尘检测或同等级颗粒物检测方案，支持颗粒物浓度采集、环境质量监测、趋势展示和报警联动实验；输出形式支持模拟量或数字化采集。
8 .土壤湿度传感器模块：采用叉形探针或同等级土壤含水率采集结构，支持0-100%RH湿度范围、模拟量/开关量输出、自动灌溉阈值判断和智慧农业实验。
9. 超声波传感器模块：采用同等级超声波测距器件，测距范围可覆盖2cm-4m；支持Trig/Echo测距、避障、液位模拟、位置检测和距离阈值联动实验。
10. 二氧化碳传感器模块：支持CO2浓度采集，测量范围可覆盖0-10000ppm；支持UART或同等级数据输出，支持通风联动、室内环境监测和历史曲线展示实验。</t>
  </si>
  <si>
    <t>RFID识别开发包</t>
  </si>
  <si>
    <t>1. HF高频识别模块：工作频率13.56MHz，支持MIFARE或同等级协议卡片读写；支持SPI、I2C、UART或同等级通信接口；适用于门禁、考勤、卡片读写、权限验证和消费模拟实验。
2 .UHF超高频识别模块：支持900MHz频段或同等级超高频RFID应用，支持远距离标签识别、批量读取、资产盘点、仓储物流和标签信号强度观察实验。
3. NFC读卡器模块：支持ISO14443A/B、ISO15693、ISO18092或同等级近场协议；支持M1卡、NTAG标签、城市卡/校园卡类标签识别；支持近场卡片识别、标签读取、权限校验和移动终端交互拓展实验。
4 .条码/二维码识别模块：支持通用一维码、二维码采集，分辨率不低于640×480或同等级识别能力；支持资产编码、仓储出入库、实验设备编号、扫码登记和数据追踪实验。</t>
  </si>
  <si>
    <t>执行器开发包</t>
  </si>
  <si>
    <t>1 .舵机执行器模块：采用不少于单路舵机控制器及配套舵机；支持PWM信号控制，转动角度支持0-180°或0-360°配置；舵机工作扭矩不低于1.6kg/cm，转动速度可达0.12-0.13秒/60°；支持摆臂控制、角度控制、门锁动作模拟和机械动作联动实验。
2 .风扇执行器模块：提供1路直流风扇，支持单片机控制和外接电路控制；工作电流约0.09-0.25A，转速可达约2000RPM；支持开关控制、PWM调速、温湿度阈值联动和平台远程控制。
3. 步进电机模块：采用四相五线或同等级步进电机，配套ULN2003或同等级驱动电路；支持步进角度控制、方向控制、速度控制、定位动作和机械执行实验。
4. LED灯光节点：提供LED照明或RGB灯光资源，支持开关控制、亮度调节、PWM调光、场景照明、报警指示和规则联动实验。
5. 水泵节点：提供低压直流水泵，支持远程启停、定时控制、阈值联动和安全低压教学负载控制；用于灌溉、水循环、液位模拟和智慧农业实验。
6 .喷雾器节点：采用压电雾化或同等级雾化结构，支持雾化控制、环境调节、农业喷雾、定时联动和湿度策略控制实验。
7. 窗帘执行器模块：采用电机驱动滑轨或同等级模拟结构，支持开合控制、光照联动、限位检测、手动/自动模式切换和智能家居场景实验。</t>
  </si>
  <si>
    <t>嵌入式智能物联综合实训云平台</t>
  </si>
  <si>
    <t>一、平台架构
1.平台采用B/S架构或同等级云平台架构，支持浏览器访问，适用于实训室集中部署、教师教学管理和学生在线实验。
2.支持管理员、教师、学生等角色权限，支持班级、课程、实验任务、设备、资源、成绩和报告统一管理。
3.支持多项目空间管理，可按课程、班级、设备类型或实训项目组织数据。
二、设备接入与协议
1.支持嵌入式综合实验平台、中心网关核心计算模块、七寸触控终端、各类开发包、OpenHarmony节点、STM32节点、ZigBee网关、WiFi节点、4G节点、传感器和执行器接入。
2.支持MQTT、HTTP/HTTPS、WebSocket、CoAP、TCP/UDP、ModbusRTU/TCP等协议或接口。
3.支持设备建模、产品分类、设备密钥、在线/离线状态、属性上报、事件上报、命令下发和设备日志查询。
4.支持真实设备与虚拟设备统一接入，便于课前预习、课中教学和课后复盘。
三、数据采集与可视化
1.支持实时数据、历史数据、报警记录、控制记录、设备运行状态、实验过程记录和学生操作记录查询。
2.支持折线图、柱状图、仪表盘、数据卡片、设备列表、报警列表和项目大屏配置。
3.支持按设备、班级、学生、实验任务、时间范围筛选数据，支持数据导出或实验报告引用。
4.支持规则联动配置，可完成“数据采集-阈值判断-控制下发-报警记录-消息提示”的闭环。
四、硬件在线仿真
1.支持STM32、WiFi/蓝牙双模MCU、嵌入式综合芯片等常用物联网开发板或芯片平台的硬件在线仿真。
2.支持浏览器内完成虚拟器件选择、模块拖拽、引脚连线、接线校验、可视化代码编辑、示例工程加载和运行结果展示。
3.支持运行日志、串口监视、变量/状态观察、错误提示、实验结果保存和教师端过程查看。
4.仿真结果能接入平台，支持虚拟数据上报、远程控制指令下发、规则联动、报警记录和真实设备/虚拟设备混合教学。
五、教学管理与评价
1.支持实验任务发布、实验步骤配置、参考答案或任务节点配置、学生报告提交、在线批阅、评分和批注。
2.支持教师查看学生设备连接状态、代码运行记录、仿真运行结果、数据上报记录和报告提交情况。
3.支持过程性评价，能够按出勤、实验完成度、数据记录、报告质量、代码提交或平台操作记录形成评价结果。
4.支持资源管理，能够上传或关联实验指导书、源码、PPT、视频、接线图、运行截图和运行样例。
六、后台管理
1.支持真实设备接入、虚拟设备接入、数据可视化、规则联动、报警记录、教师发布任务、学生提交报告等功能。
2.支持STM32仿真实验、WiFi/蓝牙双模MCU联网仿真实验、OpenHarmony联网仿真实验和真实/虚拟混合联动实验。
七、AI智能赋能与高级辅助
1.支持AI智能助教与7×24小时答疑：提供基于物联网专业知识库训练的AI对话助教，支持学生通过自然语言提问，AI结合平台设备手册和实验指导书给出精准解答。
2.支持AI辅助备课与资源一键生成：支持教师通过自然语言指令，一键生成实验指导书草案、测试用例、PPT大纲、课后习题及虚拟设备的仿真运行样例，大幅减轻教师备课与资源开发负担。
3.支持主流/开源各模态（LLM,ASR,TTS）AI接入，可以完成目前时代发展前沿的AIOT项目（语音识别，语音合成，机器视觉，意图判断等），并且支持许多开源项目的完整部署，也可以通过对大模型进行量化以达到在本地设备上运行（即边缘AI设备）。
八、接口开发文档
1.支持提供标准化的RESTfulAPI开放接口，支持OAuth2.0、JWT、AppKey/AppSecret等主流安全认证与鉴权机制，接口数据交互格式统一采用JSON，满足学生二次开发与数据深度对接需求。
2.支持基于OpenAPI（Swagger）等业界规范自动生成接口开发文档，支持接口文档的在线浏览、目录分类检索、参数说明、返回码解释以及版本控制和更新日志记录，确保开发者随时获取最新接口规范。
3.支持在接口文档页面内置在线调试工具，支持开发者直接在浏览器界面配置请求头、输入参数、发起请求并实时查看响应报文，支持提供测试沙箱环境或Mock（模拟）数据服务，便于前后端分离开发或学生联调。
4.支持根据接口定义自动生成多语言客户端SDK，支持一键生成Java、Python、C/C++、JavaScript、Go等主流编程语言的调用代码及示例工程，大幅降低学生开发者的接入与开发成本。</t>
  </si>
  <si>
    <t>嵌入式课程教学实训平台</t>
  </si>
  <si>
    <t>一、课程实训平台
1.支持多种课程资源的上传和导入，包括链接、PDF、视频、富文本图文等格式。
2.具有实训任务管理功能，教师可以创建、编辑和删除实训任务，并上传相应的实训资源。
3.支持管理员、教师、学生三种角色，分别有不同的权限。
4.管理员具有班级、课程、学员管理等功能，可批量添加、生成账号、导出花名册。
5.管理员具备课程资源、实训资源等内容是否上线使用的权限。
6.教师具有课程学习、创建、下载及阅卷等功能。
7.学生具有在线学习、在线编辑前端代码等功能。（响应文件中须提供功能截图并加盖制造商公章）
8.具有数据分析功能，包括资源使用情况、学情分析情况。
9.教师账号支持查看用户学习记录，浏览记录。
10.平台使用Java 8开发，Maven编译构建；采用B/S架构，无需安装其他插件；可基于Windows/Linux系统部署。
11.平台支持Chrome、Firefox、Webkit内核；使用Element-Plus的Vue进行项目开发、Vite编译。
12.具有查看、添加、删除、修改用户信息等系统设置。
13.支持游客访问对外提供界面。
14.支持，课程资源、实训资源分类单独展示。
15.课程模块，支持章节目录创建，课程资源支持按章节上传，课程章节支持上传章节测试题。
二、MCU开发教学案例
1.STM32基础：GPIO输入输出、LED控制、按键采集、UART串口通信、I2C传感器读取、SPI外设通信、ADC采集、PWM输出、定时器与中断验证。
2. OpenHarmony系统：OpenHarmony工程创建、GPIO控制、WiFi配网、设备状态上传、云端命令下发、智能家居联动与OpenHarmony环境监测。
3. ZigBee组网：协调器与终端节点配置，节点入网与退网、数据透明传输、组播与广播、网络自愈机制与传感数据聚合。
4. 中心网关：Modbus TCP设备接入、MQTT主题设计、ZigBee节点数据聚合、协议转换、本地触控看板与云端平台数据可视化。
5. 采集控制：温湿度采集、光照采集、阈值判定、继电器控制、边缘规则引擎联动与采集-控制完整闭环。
三、通信扩展教学案例
1. 主控开发：多控制器协同、接口扩展、综合输入输出与OpenHarmony多节点协同验证。
2. 通信开发：WiFi联网配置、4G远程云端接入、LoRa远距采集、BLE近场交互、NB-IoT与Cat.1广域数据上传。
3. 传感器应用：智能安防、环境监测、智慧农业、智慧仓储与CO₂通风联动。
4. RFID识别：高频与NFC门禁、UHF资产盘点、条码与二维码仓储出入库与权限验证。
5. 执行应用：舵机角度控制、风扇调速、步进控制、灯光调节、水泵灌溉、喷雾控制与窗帘联动。
6. 规则引擎：通过规则链实现采集、判定、控制、告警、记录与通知的完整闭环。
7. 虚实结合仿真：虚拟传感器与真实执行器联动、真实传感器与虚拟大屏联动、真实设备与虚拟设备混合考核。
8. 工业设备状态监测与预测性维护：面向智能制造与嵌入式运维场景，围绕温度、振动、电流、转速、启停状态等关键参数，构建多参数同步采集、边缘网关数据聚合、云端趋势分析、告警联动和维护工单闭环；涵盖设备状态识别、阈值告警、预测性维护策略、停机保护和AIoT运维看板等综合应用验证。
9. 智慧仓储与资产盘点：面向仓储物流与资产管理场景，围绕RFID、NFC、条码/二维码、温湿度、库位状态和环境安全等关键要素，构建识别采集、边缘接入、库存管理、盘点任务、异常告警和报表导出的完整教学闭环；涵盖入库、出库、移库、盘点、追溯和仓储环境联动控制等综合应用验证。
四、资源内容
1. 提供不少于50个基础实验案例、不少于25个综合项目案例，案例包含源代码、实验指导文档、接线说明文档、平台配置截图素材和运行结果参考示例。
2. 提供教师培训资料、学生实验任务模板、运行记录样例参考和典型项目答辩参考资料。</t>
  </si>
  <si>
    <t>工业设备状态监测与预测性维护系统</t>
  </si>
  <si>
    <t>一、系统架构与功能
1.系统采用“设备模拟单元、传感采集层、边缘网关层、云端应用层”分层架构，适用于嵌入式采集、工业通信、边缘分析和云端运维全流程教学。
2.设备模拟单元支持电机、风机、传送带或减速机构等典型工业设备状态模拟，可配置正常运行、过载、空转、堵转、温升异常、振动异常等多种工况。
3.传感采集层支持温度、振动、电流、电压、转速、噪声、开关量状态等多参数同步采集，采样周期可配置，支持秒级采集与事件触发上报。
4.边缘网关层支持ModbusRTU/TCP、MQTT、HTTP、TCP/UDP等协议，具备设备接入、协议转换、数据缓存、断网续传、阈值判定和本地规则联动能力。
5.云端平台层支持设备台账、实时数据、历史曲线、告警管理、运行报表、维护工单和预测性维护模型展示，支持教师演示与学生分组实训。
6.系统支持七寸触控本地看板与云端大屏双模式展示，可完成设备状态、传感曲线、故障告警、维护建议和联动控制结果的可视化呈现。
二、监测参数与控制对象
1.温度监测：支持设备表面温度、环境温度等采集，测量范围可覆盖0-80℃，支持温升趋势分析、阈值告警和散热联动。
2.振动监测：支持三轴振动、峰值、均方根、频率特征等数据采集，用于模拟轴承磨损、设备松动、偏心运行等故障识别实验。
3.电气参数监测：支持电流、电压、功率或启停状态采集，用于分析设备负载变化、异常耗电、堵转风险和运行效率。
4.转速与运行状态监测：支持霍尔、光电或编码器类信号采集，完成转速计算、计数统计、启停记录和异常状态判断。
5.执行对象：支持继电器、风扇、指示灯、声光告警、步进电机或舵机等执行部件，可完成降温、停机、报警和维护提示等联动控制。
三、执行联动与维护策略
1.阈值告警：支持温度、振动、电流、转速等参数上下限配置，参数越限后触发本地告警、平台告警和数据记录。
2.边缘规则联动：支持“采集-判断-控制-记录-展示”的闭环，学生可配置规则链并观察不同策略下的执行效果。
3.预测性维护：支持基于历史数据的趋势分析、异常评分、剩余维护周期提示和维护建议生成，便于开展AIoT运维实验。
4.工单闭环：支持告警确认、故障定位、维护记录、处理结果上传和教师端评价，形成设备运维全过程训练。
四、实验项目与教学内容
1.基础验证类：温度传感器采集、振动传感器读取、电流采集、转速测量、继电器控制和本地看板显示实验。
2.通信接入类：Modbus设备接入、MQTT主题设计、边缘网关协议转换、数据缓存与断网续传实验。
3.系统集成类：多参数同步采集、设备运行状态识别、阈值告警、散热联动、停机保护和云端可视化实验。
4.创新应用类：设备异常检测算法、预测性维护策略设计、维护工单流程设计、基于OpenHarmony的移动运维终端开发。</t>
  </si>
  <si>
    <t>智慧仓储与资产盘点管理系统</t>
  </si>
  <si>
    <t>一、系统架构与功能
1.系统采用“识别终端、传感采集、边缘网关、仓储业务平台”四层架构，面向智慧仓储、资产管理和物流分拣等场景开展综合实训。
2.识别终端支持HF高频RFID、UHF超高频RFID、NFC、条码/二维码等多种识别方式，可完成资产建档、标签绑定、入库、出库、移库、盘点和追溯。
3.传感采集层支持温湿度、光照、烟雾/气体、人体红外、重量、门磁或开关量等数据采集，用于仓储环境监测、库位状态判断和异常事件检测。
4.边缘网关层支持RFID读写器、扫码终端、传感节点和执行器统一接入，支持Modbus、MQTT、HTTP、WebSocket等协议转换与数据上报。
5.仓储业务平台支持资产台账、库位管理、库存统计、盘点任务、出入库记录、异常告警、环境曲线和可视化看板，支持教师布置任务与学生分角色操作。
6.系统支持真实设备与虚拟仓储场景结合，可完成“扫码/RFID识别-库存更新-环境监测-告警联动-报表生成”的闭环教学。
二、识别与监测对象
1.RFID资产识别：支持高频卡片读写、NFC近场识别、UHF远距离批量读取和标签信号强度观察，适用于资产盘点与库位校验实验。
2.条码/二维码识别：支持一维码、二维码采集与资产编码管理，可用于入库登记、出库核验、设备借还和实验耗材追踪。
3.库位与通道状态监测：支持红外对射、人体红外、霍尔门磁、重量等信号采集，用于库位占用、通道通过、门禁开合和货物重量变化判断。
4.仓储环境监测：支持温湿度、光照、烟雾/气体、PM2.5等参数采集，支持环境异常预警和风扇、灯光、声光告警联动。
三、业务流程与联动策略
1.入库流程：支持资产编码生成、标签绑定、扫码/RFID确认、库位分配、库存更新和入库记录查询。
2.出库流程：支持出库申请、身份或权限校验、标签核验、库存扣减、异常拦截和操作日志记录。
3.盘点流程：支持按库区、库位、资产类别或班级任务发起盘点，自动比对应有库存与实盘数据，生成盘盈、盘亏和异常清单。
4.安全联动：支持门禁异常、环境越限、烟雾/气体异常、非法移动、库存低于阈值等事件告警，并联动继电器、灯光、风扇或声光提示。
四、实验项目与教学内容
1.基础验证类：RFID读写实验、NFC识别实验、二维码采集实验、温湿度采集实验、红外对射计数实验和继电器控制实验。
2.业务开发类：资产台账建模、库位编码设计、出入库接口开发、库存统计查询、盘点任务发布和Excel报表导出实验。
3.系统集成类：RFID批量盘点、网关协议转换、MQTT数据上报、规则引擎告警、云端看板配置和真实/虚拟设备混合联动实验。
4.创新应用类：基于OpenHarmony的移动盘点终端、仓储环境智能调控、资产异常移动识别、库位数字孪生可视化和AI辅助盘点报告生成。</t>
  </si>
  <si>
    <t>嵌入式综合实验室文化建设及部分装修改造</t>
  </si>
  <si>
    <t>项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</si>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</sst>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I13" sqref="I13"/>
    </sheetView>
  </sheetViews>
  <sheetFormatPr defaultColWidth="9.25" defaultRowHeight="13.5" x14ac:dyDescent="0.15"/>
  <cols>
    <col min="1" max="1" width="9.25" style="9" customWidth="1"/>
    <col min="2" max="2" width="41.75" style="9" customWidth="1"/>
    <col min="3" max="3" width="84.25" style="1" customWidth="1"/>
    <col min="4" max="4" width="9.25" style="9" customWidth="1"/>
  </cols>
  <sheetData>
    <row r="1" spans="1:7" ht="17.10000000000000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4.95" customHeight="1" x14ac:dyDescent="0.15">
      <c r="A2" s="2">
        <v>1</v>
      </c>
      <c r="B2" s="3" t="s">
        <v>7</v>
      </c>
      <c r="C2" s="7" t="s">
        <v>8</v>
      </c>
      <c r="D2" s="2" t="s">
        <v>9</v>
      </c>
      <c r="E2" s="2">
        <v>25</v>
      </c>
      <c r="F2" s="2">
        <v>21432</v>
      </c>
      <c r="G2" s="2">
        <f t="shared" ref="G2:G12" si="0">E2*F2</f>
        <v>535800</v>
      </c>
    </row>
    <row r="3" spans="1:7" ht="24.95" customHeight="1" x14ac:dyDescent="0.15">
      <c r="A3" s="2">
        <v>2</v>
      </c>
      <c r="B3" s="3" t="s">
        <v>10</v>
      </c>
      <c r="C3" s="7" t="s">
        <v>11</v>
      </c>
      <c r="D3" s="2" t="s">
        <v>9</v>
      </c>
      <c r="E3" s="2">
        <v>25</v>
      </c>
      <c r="F3" s="4">
        <v>614</v>
      </c>
      <c r="G3" s="2">
        <f t="shared" si="0"/>
        <v>15350</v>
      </c>
    </row>
    <row r="4" spans="1:7" ht="24.95" customHeight="1" x14ac:dyDescent="0.15">
      <c r="A4" s="2">
        <v>3</v>
      </c>
      <c r="B4" s="3" t="s">
        <v>12</v>
      </c>
      <c r="C4" s="7" t="s">
        <v>13</v>
      </c>
      <c r="D4" s="2" t="s">
        <v>9</v>
      </c>
      <c r="E4" s="2">
        <v>25</v>
      </c>
      <c r="F4" s="4">
        <v>726</v>
      </c>
      <c r="G4" s="2">
        <f t="shared" si="0"/>
        <v>18150</v>
      </c>
    </row>
    <row r="5" spans="1:7" ht="24.95" customHeight="1" x14ac:dyDescent="0.15">
      <c r="A5" s="2">
        <v>4</v>
      </c>
      <c r="B5" s="3" t="s">
        <v>14</v>
      </c>
      <c r="C5" s="7" t="s">
        <v>15</v>
      </c>
      <c r="D5" s="2" t="s">
        <v>9</v>
      </c>
      <c r="E5" s="2">
        <v>25</v>
      </c>
      <c r="F5" s="4">
        <v>848</v>
      </c>
      <c r="G5" s="2">
        <f t="shared" si="0"/>
        <v>21200</v>
      </c>
    </row>
    <row r="6" spans="1:7" ht="24.95" customHeight="1" x14ac:dyDescent="0.15">
      <c r="A6" s="2">
        <v>5</v>
      </c>
      <c r="B6" s="3" t="s">
        <v>16</v>
      </c>
      <c r="C6" s="7" t="s">
        <v>17</v>
      </c>
      <c r="D6" s="2" t="s">
        <v>9</v>
      </c>
      <c r="E6" s="2">
        <v>25</v>
      </c>
      <c r="F6" s="4">
        <v>966</v>
      </c>
      <c r="G6" s="2">
        <f t="shared" si="0"/>
        <v>24150</v>
      </c>
    </row>
    <row r="7" spans="1:7" ht="24.95" customHeight="1" x14ac:dyDescent="0.15">
      <c r="A7" s="2">
        <v>6</v>
      </c>
      <c r="B7" s="3" t="s">
        <v>18</v>
      </c>
      <c r="C7" s="7" t="s">
        <v>19</v>
      </c>
      <c r="D7" s="2" t="s">
        <v>9</v>
      </c>
      <c r="E7" s="2">
        <v>25</v>
      </c>
      <c r="F7" s="4">
        <v>753</v>
      </c>
      <c r="G7" s="2">
        <f t="shared" si="0"/>
        <v>18825</v>
      </c>
    </row>
    <row r="8" spans="1:7" ht="24.95" customHeight="1" x14ac:dyDescent="0.15">
      <c r="A8" s="2">
        <v>7</v>
      </c>
      <c r="B8" s="2" t="s">
        <v>20</v>
      </c>
      <c r="C8" s="7" t="s">
        <v>21</v>
      </c>
      <c r="D8" s="2" t="s">
        <v>9</v>
      </c>
      <c r="E8" s="2">
        <v>1</v>
      </c>
      <c r="F8" s="4">
        <v>195352</v>
      </c>
      <c r="G8" s="2">
        <f t="shared" si="0"/>
        <v>195352</v>
      </c>
    </row>
    <row r="9" spans="1:7" ht="24.95" customHeight="1" x14ac:dyDescent="0.15">
      <c r="A9" s="2">
        <v>8</v>
      </c>
      <c r="B9" s="3" t="s">
        <v>22</v>
      </c>
      <c r="C9" s="7" t="s">
        <v>23</v>
      </c>
      <c r="D9" s="2" t="s">
        <v>9</v>
      </c>
      <c r="E9" s="2">
        <v>1</v>
      </c>
      <c r="F9" s="4">
        <v>69770</v>
      </c>
      <c r="G9" s="2">
        <f t="shared" si="0"/>
        <v>69770</v>
      </c>
    </row>
    <row r="10" spans="1:7" ht="24.95" customHeight="1" x14ac:dyDescent="0.15">
      <c r="A10" s="2">
        <v>9</v>
      </c>
      <c r="B10" s="3" t="s">
        <v>24</v>
      </c>
      <c r="C10" s="7" t="s">
        <v>25</v>
      </c>
      <c r="D10" s="2" t="s">
        <v>9</v>
      </c>
      <c r="E10" s="2">
        <v>1</v>
      </c>
      <c r="F10" s="2">
        <v>25119</v>
      </c>
      <c r="G10" s="2">
        <f t="shared" si="0"/>
        <v>25119</v>
      </c>
    </row>
    <row r="11" spans="1:7" ht="24.95" customHeight="1" x14ac:dyDescent="0.15">
      <c r="A11" s="2">
        <v>10</v>
      </c>
      <c r="B11" s="5" t="s">
        <v>26</v>
      </c>
      <c r="C11" s="8" t="s">
        <v>27</v>
      </c>
      <c r="D11" s="2" t="s">
        <v>9</v>
      </c>
      <c r="E11" s="5">
        <v>1</v>
      </c>
      <c r="F11" s="2">
        <v>25119</v>
      </c>
      <c r="G11" s="2">
        <f t="shared" si="0"/>
        <v>25119</v>
      </c>
    </row>
    <row r="12" spans="1:7" ht="24.95" customHeight="1" x14ac:dyDescent="0.15">
      <c r="A12" s="2">
        <v>11</v>
      </c>
      <c r="B12" s="5" t="s">
        <v>28</v>
      </c>
      <c r="C12" s="8" t="s">
        <v>28</v>
      </c>
      <c r="D12" s="2" t="s">
        <v>29</v>
      </c>
      <c r="E12" s="5">
        <v>1</v>
      </c>
      <c r="F12" s="2">
        <v>11165</v>
      </c>
      <c r="G12" s="2">
        <f t="shared" si="0"/>
        <v>11165</v>
      </c>
    </row>
    <row r="13" spans="1:7" ht="24.95" customHeight="1" x14ac:dyDescent="0.15">
      <c r="A13" s="2">
        <v>12</v>
      </c>
      <c r="B13" s="6" t="s">
        <v>30</v>
      </c>
      <c r="C13" s="6"/>
      <c r="D13" s="6"/>
      <c r="E13" s="6"/>
      <c r="F13" s="6"/>
      <c r="G13" s="6">
        <f>SUM(G2:G12)</f>
        <v>960000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2026-07-04T02:42:00Z</dcterms:created>
  <dcterms:modified xsi:type="dcterms:W3CDTF">2026-07-09T06:59:39Z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55339329AAE1E7AE7840466A63BD5579_41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