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nanyun\物联网\"/>
    </mc:Choice>
  </mc:AlternateContent>
  <xr:revisionPtr revIDLastSave="0" documentId="13_ncr:1_{C0522DA4-3559-4C2F-A6F7-21565BC202E7}" xr6:coauthVersionLast="47" xr6:coauthVersionMax="47" xr10:uidLastSave="{00000000-0000-0000-0000-000000000000}"/>
  <bookViews>
    <workbookView xWindow="-24098" yWindow="-3908" windowWidth="24196" windowHeight="14475" xr2:uid="{00000000-000D-0000-FFFF-FFFF00000000}"/>
  </bookViews>
  <sheets>
    <sheet name="项目清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1" i="1"/>
  <c r="G10" i="1"/>
  <c r="G9" i="1"/>
  <c r="G8" i="1"/>
  <c r="G7" i="1"/>
  <c r="G6" i="1"/>
  <c r="G5" i="1"/>
  <c r="G4" i="1"/>
  <c r="G3" i="1"/>
  <c r="G2" i="1"/>
  <c r="G13" i="1" s="1"/>
</calcChain>
</file>

<file path=xl/sharedStrings.xml><?xml version="1.0" encoding="utf-8"?>
<sst xmlns="http://schemas.openxmlformats.org/spreadsheetml/2006/main" count="41" uniqueCount="31">
  <si>
    <t>序号</t>
  </si>
  <si>
    <t>货物名称</t>
  </si>
  <si>
    <t>技术参数</t>
  </si>
  <si>
    <t>单位</t>
  </si>
  <si>
    <t>数量</t>
  </si>
  <si>
    <t>单价</t>
  </si>
  <si>
    <t>总价</t>
  </si>
  <si>
    <t>嵌入式综合实验箱（嵌入式综合实训设备）</t>
  </si>
  <si>
    <t>一、产品功能
1.实验箱采用便携式一体化结构，支持模块化快接、层叠互联和免跳线实验教学。
2.实验箱结构规格约420mm×325mm×150mm±10mm，适合桌面教学、分组实训、设备收纳及实训室集中管理。
3.实验箱能够满足嵌入式技术应用、物联网应用技术等相关专业的单片机开发、传感器应用、通信网络协议传输以及云平台部署等实训课程。
4 .实验箱由1个通用实验平台、9个功能实验平台组成，配有电源适配器、USB连接线、网线等配件。
5 .功能模块至少包含：嵌入式控制、OpenHarmony轻量设备开发、ZigBee无线传感网、中心网关多协议接入、环境采集、光照采集、开关量输出、本地触控可视化等实验。
6.至少包含9个同构通用模块接口位，各接口位电气接口、供电触点和通信触点保持一致，可将任意功能模块放置到任意接口位使用。
7.支持DC 12V直流输入，随机配备不低于12V/3A电源适配器；内部具备稳压、过流、短路等保护措施。
8 .上游数据接口采用USB Type-C接口，连接PC后可自动枚举不少于9个串口；各串口通道支持开启或关闭控制。
9 .提供电源状态、串口状态或模块运行状态指示，便于课堂调试和运行观察。
10 .支持STM32外设实验、OpenHarmony联网实验、ZigBee组网实验、中心网关协议接入实验、温湿度/光照采集实验、继电器控制实验和七寸触控本地看板实验。
11 .支持“采集-通信-平台-控制”闭环：传感器采集数据，经STM32或OpenHarmony芯片处理，通过ZigBee或中心网关上传平台，并通过继电器完成执行联动。
12 .支持平台标配模块在不同接口位完成供电、通信或调试，满足灵活摆放和分组实训使用。
13 .支持Modbus TCP/RTU、MQTT、ZigBee节点汇聚、本地触控配置、云平台数据可视化和真实设备/虚拟设备混合教学。
二、产品配置
1. STM32微控制器控制模块：采用STM32G0系列或同等级32位ARM Cortex-M0处理器，主频不低于64MHz；支持GPIO、UART、I2C、SPI、ADC、PWM、定时器、中断等基础外设实验；支持平台内部程序下载和串口调试；提供复位、BOOT配置或同等级调试配置。模块接口说明：提供平台统一快接触点接口，用于供电、程序下载、串口调试、数据通信或IO拓展；采用定位快接与层叠互联结构，模块就位后完成供电与信号连接，支持免跳线实验教学。
2 .OpenHarmony嵌入式模块：采用上海海思芯片/模组，支持OpenHarmony轻量设备开发，支持DevEco Studio工程开发、编译、烧录和运行；支持WiFi配网、设备上云、云端远程控制、GPIO/UART/I2C/SPI/PWM/ADC等外设调用；提供OpenHarmony智能家居、环境监测、设备联动等例程。模块接口说明：提供平台统一快接触点接口，用于供电、程序下载、串口调试、数据通信或IO拓展；采用定位快接与层叠互联结构，模块就位后完成供电与信号连接，支持免跳线实验教学。
3 .ZigBee网关模块：采用同等级ZigBee SoC芯片，支持2.4GHz IEEE 802.15.4无线通信，支持协调器功能；支持点播、组播、广播、自动组网及网络自愈；UART串口速率支持9600bps、19200bps、38400bps、115200bps等配置；支持传感节点数据汇聚、网关透传和本地串口调试。模块接口说明：提供平台统一快接触点接口，用于供电、程序下载、串口调试、数据通信或IO拓展；采用定位快接与层叠互联结构，模块就位后完成供电与信号连接，支持免跳线实验教学。
4 .ZigBee节点模块：采用同等级ZigBee SoC芯片，支持路由器或终端节点功能；支持节点入网、退网、地址分配、数据透传、低功耗节点实验、传感数据周期上报和异常触发上报；可与标配传感模块组合完成无线采集实验。模块接口说明：提供平台统一快接触点接口，用于供电、程序下载、串口调试、数据通信或IO拓展；采用定位快接与层叠互联结构，模块就位后完成供电与信号连接，支持免跳线实验教学。
5 .中心网关核心计算模块：作为平台内置网关计算单元，采用四核64位ARM Cortex-A72或同等级处理器，主频不低于1.5GHz；内存不低于4GB LPDDR4，存储不低于32GB高速存储；支持千兆以太网、2.4GHz/5GHz双频WiFi、Bluetooth 5.0/BLE或同等级近场通信；接口不少于2路USB3.0、2路USB2.0、1路HDMI或DSI显示接口、1组40Pin GPIO或同等级拓展接口；支持Linux或同等级嵌入式系统环境，支持Python、C/C++、Node-RED或同等级边缘应用开发；支持Modbus RTU、Modbus TCP、MQTT、HTTP/HTTPS、TCP/UDP、WebSocket等协议，支持通过ZigBee、LoRa等通信单元进行节点汇聚；支持设备注册、数据采集、协议转换、主题映射、数据缓存、断点续传、异常重连、本地规则联动和云平台接入。模块接口说明：提供平台统一快接触点接口，用于供电、程序下载、串口调试、数据通信或IO拓展；采用定位快接与层叠互联结构，模块就位后完成供电与信号连接，支持免跳线实验教学。
6. 空气温湿度传感器模块：采用同等级数字温湿度传感器；温度检测范围0-50°C，精度可达±0.5°C；湿度检测范围20%RH-95%RH，精度可达±2%RH；支持电容型湿度传感实验、湿度值脉冲信号输出，输出形式为数字量；支持温湿度采集、阈值报警和平台数据上报实验。模块接口说明：提供平台统一快接触点接口，用于供电、程序下载、串口调试、数据通信或IO拓展；采用定位快接与层叠互联结构，模块就位后完成供电与信号连接，支持免跳线实验教学。
7 .光照度传感器模块：采用数字光照传感器或同等级模拟型传感器；光照度检测范围0-65535lx；支持数字量数据读取，可支持模拟量或阈值开关量拓展；支持照度曲线、阈值判断和补光联动实验。模块接口说明：提供平台统一快接触点接口，用于供电、程序下载、串口调试、数据通信或IO拓展；采用定位快接与层叠互联结构，模块就位后完成供电与信号连接，支持免跳线实验教学。
8. 双路继电器执行器模块：采用5V控制继电器，实现双路开关量输出控制；继电器触点规格不低于3A/200VAC或3A/30VDC；提供NO、COM、NC输出端和双路状态指示灯，支持安全低压教学负载联动实验。模块接口说明：提供平台统一快接触点接口，用于供电、程序下载、串口调试、数据通信或IO拓展；采用定位快接与层叠互联结构，模块就位后完成供电与信号连接，支持免跳线实验教学。
9 .显示单元模块：配套不低于7英寸电容触摸显示屏，分辨率不低于1024×600，支持多点触控；亮度不低于300cd/m²或满足室内教学观察；接口支持HDMI/DSI显示及USB/I2C触控或同等级连接方式；可与中心网关核心计算模块组成本地交互终端，支持设备状态、传感数据、协议调试、MQTT主题、Modbus寄存器、ZigBee/LoRa节点状态、规则联动结果和边缘日志展示；支持桌面放置或嵌入式安装结构。模块接口说明：提供平台统一快接触点接口，用于供电、程序下载、串口调试、数据通信或IO拓展；采用定位快接与层叠互联结构，模块就位后完成供电与信号连接，支持免跳线实验教学。</t>
  </si>
  <si>
    <t>套</t>
  </si>
  <si>
    <t>主控开发包</t>
  </si>
  <si>
    <t>1 .STM32扩展控制模块：采用STM32G0系列或同等级32位ARM Cortex-M0处理器，主频不低于64MHz；提供Flash、SRAM、定时器、ADC、UART、I2C、SPI、PWM等资源；支持多控制器协同、复杂外设驱动、分布式采集、串口调试、程序下载和分组项目开发。
2 .OpenHarmony扩展模块：采用同等级嵌入式综合芯片，支持OpenHarmony轻量设备开发和DevEco Studio工程；支持WiFi配网、GPIO、UART、I2C、SPI、PWM、ADC等外设调用；用于OpenHarmony多节点协同、云端控制、设备联动和OpenHarmony嵌入式创新项目。
3 .ZigBee单片机模块：采用同等级ZigBee SoC芯片，具备8051内核、256KB Flash、8KB RAM及2.4GHz无线收发能力；支持ZigBee协议栈学习、节点固件开发、协调器/路由器/终端角色训练和串口透传实验。
4 .单片机接口拓展板：提供多路电源、IO、串口、调试及外设引出接口；支持3.3V/5V/GND、GPIO、UART、I2C、SPI、ADC、PWM等教学接线；用于接口测量、外设拓展、故障排查和二次开发实验。</t>
  </si>
  <si>
    <t>通信开发包</t>
  </si>
  <si>
    <t>1 .WiFi通信模块：支持2.4GHz 802.11 b/g/n无线标准，支持AP、STA或AP+STA工作模式；支持WEP、WPA-PSK、WPA2-PSK等安全模式；支持串口转无线TCP/UDP通信、AT指令配置、快速联网配置、MQTT/HTTP数据上报、远程控制和断线重连实验。
2. ZigBee节点扩展模块：采用同等级ZigBee SoC芯片，支持2.4GHz IEEE 802.15.4通信；支持协调器、路由器、终端角色配置；支持点播、组播、广播、自动组网、网络自愈、低功耗终端和多节点数据汇聚。
3. 4G通信模块：支持移动、联通、电信4G网络接入，支持标准SIM/物联网卡；串口波特率支持多档配置；支持TCP、UDP、HTTP、MQTT、心跳包、注册包、网络透传、断线重连、远程参数配置和远程数据上报。
4 .蓝牙通信模块：支持BLE通信，支持透传、设备发现、主从切换、低功耗广播、近距离移动终端交互和串口AT配置；可用于手机端调试、近场控制和低功耗通信实验。
5 .LoRa通信模块：支持远距离低功耗通信，支持点对点、一对多、定点发送、参数配置、低功耗模式和串口透传；用于农业园区、仓储园区、校园远距采集等实验。
6. NB-IoT或Cat.1通信模块：支持低功耗蜂窝物联网数据上报、远程参数配置、心跳包、注册包、断线重连和广域覆盖场景；支持与云平台进行数据上报和指令下发。</t>
  </si>
  <si>
    <t>传感器开发包</t>
  </si>
  <si>
    <t>1 .霍尔传感器模块：采用同等级霍尔磁感应器件，支持磁场检测、门磁状态检测、位置触发和计数实验；支持灵敏度调节和信号输出指示，输出形式为开关量或数字量。
2 .人体红外传感器模块：采用PIR或同等级人体红外感应器件，感应距离可达0-5m；支持人体移动检测、人员进入触发、安防布防/撤防和灯光联动实验，输出形式支持数字量。
3 .气体传感器模块：采用MQ系列或同等级气敏元件，支持烟雾、可燃气体或空气质量异常检测；检测浓度范围可覆盖300-10000ppm；支持模拟量/数字量输出、灵敏度调节和阈值报警。
4 .红外对射传感器模块：采用红外发射与接收对射结构，支持遮挡判断、通过计数、门禁/安防触发和平台报警联动；具备信号输出指示，输出形式为开关量或数字量。
5 .重量传感器模块：采用应变片式称重结构，配套同等级高精度A/D转换芯片；支持最大5kg称重测试、称重采集、去皮、标定、阈值判断和平台数据上报。
6 .火焰传感器模块：支持760nm-1100nm或同等级波段火焰检测，探测角度可达约60°；支持灵敏度调节、开关量输出、状态指示和安全预警实验。
7 .PM2.5传感器模块：采用光学灰尘检测或同等级颗粒物检测方案，支持颗粒物浓度采集、环境质量监测、趋势展示和报警联动实验；输出形式支持模拟量或数字化采集。
8 .土壤湿度传感器模块：采用叉形探针或同等级土壤含水率采集结构，支持0-100%RH湿度范围、模拟量/开关量输出、自动灌溉阈值判断和智慧农业实验。
9. 超声波传感器模块：采用同等级超声波测距器件，测距范围可覆盖2cm-4m；支持Trig/Echo测距、避障、液位模拟、位置检测和距离阈值联动实验。
10. 二氧化碳传感器模块：支持CO2浓度采集，测量范围可覆盖0-10000ppm；支持UART或同等级数据输出，支持通风联动、室内环境监测和历史曲线展示实验。</t>
  </si>
  <si>
    <t>RFID识别开发包</t>
  </si>
  <si>
    <t>1. HF高频识别模块：工作频率13.56MHz，支持MIFARE或同等级协议卡片读写；支持SPI、I2C、UART或同等级通信接口；适用于门禁、考勤、卡片读写、权限验证和消费模拟实验。
2 .UHF超高频识别模块：支持900MHz频段或同等级超高频RFID应用，支持远距离标签识别、批量读取、资产盘点、仓储物流和标签信号强度观察实验。
3. NFC读卡器模块：支持ISO14443A/B、ISO15693、ISO18092或同等级近场协议；支持M1卡、NTAG标签、城市卡/校园卡类标签识别；支持近场卡片识别、标签读取、权限校验和移动终端交互拓展实验。
4 .条码/二维码识别模块：支持通用一维码、二维码采集，分辨率不低于640×480或同等级识别能力；支持资产编码、仓储出入库、实验设备编号、扫码登记和数据追踪实验。</t>
  </si>
  <si>
    <t>执行器开发包</t>
  </si>
  <si>
    <t>1 .舵机执行器模块：采用不少于单路舵机控制器及配套舵机；支持PWM信号控制，转动角度支持0-180°或0-360°配置；舵机工作扭矩不低于1.6kg/cm，转动速度可达0.12-0.13秒/60°；支持摆臂控制、角度控制、门锁动作模拟和机械动作联动实验。
2 .风扇执行器模块：提供1路直流风扇，支持单片机控制和外接电路控制；工作电流约0.09-0.25A，转速可达约2000RPM；支持开关控制、PWM调速、温湿度阈值联动和平台远程控制。
3. 步进电机模块：采用四相五线或同等级步进电机，配套ULN2003或同等级驱动电路；支持步进角度控制、方向控制、速度控制、定位动作和机械执行实验。
4. LED灯光节点：提供LED照明或RGB灯光资源，支持开关控制、亮度调节、PWM调光、场景照明、报警指示和规则联动实验。
5. 水泵节点：提供低压直流水泵，支持远程启停、定时控制、阈值联动和安全低压教学负载控制；用于灌溉、水循环、液位模拟和智慧农业实验。
6 .喷雾器节点：采用压电雾化或同等级雾化结构，支持雾化控制、环境调节、农业喷雾、定时联动和湿度策略控制实验。
7. 窗帘执行器模块：采用电机驱动滑轨或同等级模拟结构，支持开合控制、光照联动、限位检测、手动/自动模式切换和智能家居场景实验。</t>
  </si>
  <si>
    <t>AIoT实训云平台</t>
  </si>
  <si>
    <t>一、平台架构
1.平台采用B/S架构或同等级云平台架构，支持浏览器访问，适用于实训室集中部署、教师教学管理和学生在线实验。
2.支持管理员、教师、学生等角色权限，支持班级、课程、实验任务、设备、资源、成绩和报告统一管理。
3.支持多项目空间管理，可按课程、班级、设备类型或实训项目组织数据。
二、设备接入与协议
1.支持嵌入式综合实验平台、中心网关核心计算模块、七寸触控终端、各类开发包、OpenHarmony节点、STM32节点、ZigBee网关、WiFi节点、4G节点、传感器和执行器接入。
2.支持MQTT、HTTP/HTTPS、WebSocket、CoAP、TCP/UDP、ModbusRTU/TCP等协议或接口。
3.支持设备建模、产品分类、设备密钥、在线/离线状态、属性上报、事件上报、命令下发和设备日志查询。
4.支持真实设备与虚拟设备统一接入，便于课前预习、课中教学和课后复盘。
三、数据采集与可视化
1.支持实时数据、历史数据、报警记录、控制记录、设备运行状态、实验过程记录和学生操作记录查询。
2.支持折线图、柱状图、仪表盘、数据卡片、设备列表、报警列表和项目大屏配置。
3.支持按设备、班级、学生、实验任务、时间范围筛选数据，支持数据导出或实验报告引用。
4.支持规则联动配置，可完成“数据采集-阈值判断-控制下发-报警记录-消息提示”的闭环。
四、硬件在线仿真
1.支持STM32、WiFi/蓝牙双模MCU、嵌入式综合芯片等常用物联网开发板或芯片平台的硬件在线仿真。
2.支持浏览器内完成虚拟器件选择、模块拖拽、引脚连线、接线校验、可视化代码编辑、示例工程加载和运行结果展示。
3.支持运行日志、串口监视、变量/状态观察、错误提示、实验结果保存和教师端过程查看。
4.仿真结果能接入平台，支持虚拟数据上报、远程控制指令下发、规则联动、报警记录和真实设备/虚拟设备混合教学。
五、教学管理与评价
1.支持实验任务发布、实验步骤配置、参考答案或任务节点配置、学生报告提交、在线批阅、评分和批注。
2.支持教师查看学生设备连接状态、代码运行记录、仿真运行结果、数据上报记录和报告提交情况。
3.支持过程性评价，能够按出勤、实验完成度、数据记录、报告质量、代码提交或平台操作记录形成评价结果。
4.支持资源管理，能够上传或关联实验指导书、源码、PPT、视频、接线图、运行截图和运行样例。
六、后台管理
1.支持真实设备接入、虚拟设备接入、数据可视化、规则联动、报警记录、教师发布任务、学生提交报告等功能。
2.支持STM32仿真实验、WiFi/蓝牙双模MCU联网仿真实验、OpenHarmony联网仿真实验和真实/虚拟混合联动实验。
七、AI智能赋能与高级辅助
1.支持AI智能助教与7×24小时答疑：提供基于物联网专业知识库训练的AI对话助教，支持学生通过自然语言提问，AI结合平台设备手册和实验指导书给出精准解答。
2.支持AI辅助备课与资源一键生成：支持教师通过自然语言指令，一键生成实验指导书草案、测试用例、PPT大纲、课后习题及虚拟设备的仿真运行样例，大幅减轻教师备课与资源开发负担。
3.支持主流/开源各模态（LLM,ASR,TTS）AI接入，可以完成目前时代发展前沿的AIOT项目（语音识别，语音合成，机器视觉，意图判断等），并且支持许多开源项目的完整部署，也可以通过对大模型进行量化以达到在本地设备上运行（即边缘AI设备）。
八、接口开发文档
1.支持提供标准化的RESTfulAPI开放接口，支持OAuth2.0、JWT、AppKey/AppSecret等主流安全认证与鉴权机制，接口数据交互格式统一采用JSON，满足学生二次开发与数据深度对接需求。
2.支持基于OpenAPI（Swagger）等业界规范自动生成接口开发文档，支持接口文档的在线浏览、目录分类检索、参数说明、返回码解释以及版本控制和更新日志记录，确保开发者随时获取最新接口规范。
3.支持在接口文档页面内置在线调试工具，支持开发者直接在浏览器界面配置请求头、输入参数、发起请求并实时查看响应报文，支持提供测试沙箱环境或Mock（模拟）数据服务，便于前后端分离开发或学生联调。
4.支持根据接口定义自动生成多语言客户端SDK，支持一键生成Java、Python、C/C++、JavaScript、Go等主流编程语言的调用代码及示例工程，大幅降低学生开发者的接入与开发成本。</t>
  </si>
  <si>
    <t>嵌入式课程教学实训平台</t>
  </si>
  <si>
    <t>一、课程实训平台
1.支持多种课程资源的上传和导入，包括链接、PDF、视频、富文本图文等格式。
2.具有实训任务管理功能，教师可以创建、编辑和删除实训任务，并上传相应的实训资源。
3.支持管理员、教师、学生三种角色，分别有不同的权限。
4.管理员具有班级、课程、学员管理等功能，可批量添加、生成账号、导出花名册。
5.管理员具备课程资源、实训资源等内容是否上线使用的权限。
6.教师具有课程学习、创建、下载及阅卷等功能。
7.学生具有在线学习、在线编辑前端代码等功能。（响应文件中须提供功能截图并加盖制造商公章）
8.具有数据分析功能，包括资源使用情况、学情分析情况。
9.教师账号支持查看用户学习记录，浏览记录。
10.平台使用Java 8开发，Maven编译构建；采用B/S架构，无需安装其他插件；可基于Windows/Linux系统部署。
11.平台支持Chrome、Firefox、Webkit内核；使用Element-Plus的Vue进行项目开发、Vite编译。
12.具有查看、添加、删除、修改用户信息等系统设置。
13.支持游客访问对外提供界面。
14.支持，课程资源、实训资源分类单独展示。
15.课程模块，支持章节目录创建，课程资源支持按章节上传，课程章节支持上传章节测试题。
二、MCU开发教学案例
1.STM32基础：GPIO输入输出、LED控制、按键采集、UART串口通信、I2C传感器读取、SPI外设通信、ADC采集、PWM输出、定时器与中断验证。
2. OpenHarmony系统：OpenHarmony工程创建、GPIO控制、WiFi配网、设备状态上传、云端命令下发、智能家居联动与OpenHarmony环境监测。
3. ZigBee组网：协调器与终端节点配置，节点入网与退网、数据透明传输、组播与广播、网络自愈机制与传感数据聚合。
4. 中心网关：Modbus TCP设备接入、MQTT主题设计、ZigBee节点数据聚合、协议转换、本地触控看板与云端平台数据可视化。
5. 采集控制：温湿度采集、光照采集、阈值判定、继电器控制、边缘规则引擎联动与采集-控制完整闭环。
三、通信扩展教学案例
1. 主控开发：多控制器协同、接口扩展、综合输入输出与OpenHarmony多节点协同验证。
2. 通信开发：WiFi联网配置、4G远程云端接入、LoRa远距采集、BLE近场交互、NB-IoT与Cat.1广域数据上传。
3. 传感器应用：智能安防、环境监测、智慧农业、智慧仓储与CO₂通风联动。
4. RFID识别：高频与NFC门禁、UHF资产盘点、条码与二维码仓储出入库与权限验证。
5. 执行应用：舵机角度控制、风扇调速、步进控制、灯光调节、水泵灌溉、喷雾控制与窗帘联动。
6. 规则引擎：通过规则链实现采集、判定、控制、告警、记录与通知的完整闭环。
7. 虚实结合仿真：虚拟传感器与真实执行器联动、真实传感器与虚拟大屏联动、真实设备与虚拟设备混合考核。
8. 微生物发酵环境监测：面向生物工程与生物技术专业，围绕发酵过程温度、湿度、CO₂浓度、重量变化等关键参数，构建多参数同步采集、边缘计算网关数据聚合、云端分析展示与执行联动控制的完整教学闭环；涵盖发酵罐恒温控制、恒湿控制、通气量调节、补料控制、异常工况告警与生长曲线分析等综合应用验证。
四、资源内容
1. 提供不少于50个基础实验案例、不少于25个综合项目案例，案例包含源代码、实验指导文档、接线说明文档、平台配置截图素材和运行结果参考示例。
2. 提供教师培训资料、学生实验任务模板、运行记录样例参考和典型项目答辩参考资料。</t>
  </si>
  <si>
    <t>微生物发酵环境监测系统</t>
  </si>
  <si>
    <t>一、系统架构与功能
1.系统采用分层架构，由发酵模拟单元、传感采集层、边缘网关层和云端平台层组成，各层间通过标准协议通信，便于学生逐层理解与调试。
2.发酵模拟单元采用透明罐体模拟结构，内置模拟发酵液腔室，支持温度传导、气体扩散、液位变化等物理过程演示，便于课堂观察与原理讲解。
3.传感采集层支持多参数同步采集，包括温度、湿度、CO₂浓度、重量、气体浓度等，采样周期可配置，支持1秒至60分钟可调。
4.边缘网关层采用多协议中心网关，支持ModbusRTU/TCP、MQTT、HTTP等协议，具备本地数据缓存、协议转换、规则判定和断网续传功能。
5.云端平台层支持设备接入、数据可视化、规则引擎、告警管理、历史数据查询与导出，支持多用户角色权限管理。
6.系统支持七寸触控本地看板与云端大屏双模式展示，便于课堂教学演示与学生自主操作。
二、监测参数与控制对象
1.温度监测：测量范围0-60℃，精度±0.5℃，支持发酵罐内温度与环境温度双通道采集；支持加热/冷却联动控制，控温精度±1℃。
2.湿度监测：测量范围20%RH-95%RH，精度±2%RH；支持喷雾补湿联动控制，控湿精度±5%RH。
3.CO₂浓度监测：测量范围0-10000ppm，支持UART数据输出；用于反映微生物代谢活性，支持浓度趋势分析与阈值告警。
4.重量监测：采用应变片式称重结构，配套高精度A/D转换，最大称量5kg，精度±1g；用于监测发酵液重量变化与底物消耗速率。
5.气体监测：采用MQ系列气敏元件，支持挥发性有机物与异常气体检测，可用于发酵异常工况预警。
6.光照监测：测量范围0-65535lx，支持光照强度监测与补光控制，可扩展用于光合微生物发酵实验。
三、执行联动与控制策略
1.恒温控制：支持PID恒温控制策略，学生可配置目标温度、P/I/D参数，观察控制效果并对比不同参数下的温度响应曲线。
2.恒湿控制：支持阈值式恒湿控制，支持上限/下限双阈值配置，联动喷雾器与通风风扇，学生可观察湿度调节过程。
3.通气控制：支持风扇转速PWM调节，模拟发酵罐通风量控制，可与CO₂浓度联动，实现通气量自适应调节。
4.搅拌控制：支持步进电机转速与方向控制，模拟发酵液搅拌过程，支持定时搅拌与连续搅拌两种模式。
5.补料控制：支持水泵定时定量控制，模拟发酵过程补料操作，支持与重量数据联动实现精准补料。
6.告警输出：支持声光告警，当参数越限或设备异常时触发LED指示与继电器输出，可扩展短信/消息推送通知。
四、实验项目与教学内容
1.基础验证类：温度传感器标定实验、湿度传感器特性测试、CO₂传感器校准实验、称重模块去皮与标定实验。
2.单回路控制类：温度PID控制实验、湿度阈值控制实验、CO₂浓度监测与通风联动实验、重量监测与补料控制实验。
3.系统集成类：多参数同步采集实验、ZigBee节点组网与数据汇聚实验、边缘网关协议转换实验、MQTT数据上传与云端接入实验。
4.综合应用类：发酵过程多参数联合控制实验、规则引擎配置与联动控制实验、本地触控看板配置与数据展示实验、云端大屏可视化配置实验。
5.创新设计类：发酵阶段识别与分段控制设计、异常工况检测与预警算法设计、发酵生长曲线拟合与预测、基于OpenHarmony系统的发酵监控应用开发。</t>
  </si>
  <si>
    <t>智慧养殖监测系统</t>
  </si>
  <si>
    <t>一、实训项目要求
智慧养殖管理系统是一套面向现代化养猪场的综合性数字化管理平台，旨在通过信息化手段实现猪舍管理、种猪档案管理、环境实时监测、数据分析决策、养殖全流程可视化以及AI智能问答等核心业务功能。通过完成本实训课程，学员能够掌握SpringBoot企业级应用开发、Vue.js前端工程化开发、MySQL数据库设计与优化、RESTfulAPI设计与开发、SpringSecurity安全认证、前后端分离架构实践、三维可视化技术、数据可视化分析以及AI大模型集成应用等核心技能。
二、功能要求：
1.猪舍管理：对养殖场内各猪舍信息进行统一维护，包括猪舍编号、猪舍名称、猪舍类型（如育肥舍、母猪舍、保育舍等）、最大存栏容量以及启用/停用状态管理，支持数据的新增、修改、删除、查询及Excel导出。
2.种猪管理：对场内种猪建立完整的电子档案，记录种猪的体重、年龄、性别、健康状态（异常、健康、恢复中）、耳标编号、入场日期以及所属猪舍等信息。支持种猪详情报告卡查看（含二维码防伪验证），并可对数据进行新增、修改、删除、查询及Excel导出操作。
3.猪舍环境检测：实时采集并展示各猪舍的环境参数数据，包括温度（℃）、湿度（%）、CO2浓度（ppm）、光照强度（Lux）、噪音（dB）、粉尘浓度（mg/m³）及氨气浓度（ppm）等七项关键指标。系统提供模拟实时数据接口，支持监控视频播放与回放，支持数据的新增、修改、删除、查询及Excel导出。
4.数据分析看板：以可视化图表方式展示养殖场关键运营数据，包括年度数据趋势分析（柱状图/折线图）、交易量统计、订单完成率（环形进度图）、目标金额与实际金额对比以及环比数据变化等，辅助管理人员进行数据驱动的科学决策。
5.养猪全流程生产看板：以交互式流程图方式展示养猪全生命周期各环节，涵盖配种、妊娠与分娩、保育、育肥与出栏四大阶段。支持流程节点动态演示（启动/暂停/重置），直观呈现从引种到出栏的完整养殖生产链条，帮助学员理解养殖全流程业务。
6.3D数字孪生数据大屏：基于Three.js构建养殖场三维数字孪生场景，支持360度自由旋转视角、建筑点击交互查看猪舍实时数据（猪种、数量、温湿度、面积等），配合ECharts展示猪种分布、人员数据、生产数据、能耗数据等多维度图表，实现沉浸式的养殖场全景数据监控。大屏底部提供综合数据、养殖数据、运营成本、销售交易、环境监测五大功能页签切换。
7.AI智能问答：集成Ollama本地大语言模型（qwen3:1.7b），提供面向养猪专业领域的AI智能问答服务。支持多轮对话会话分组管理、聊天历史记录保存与查看、流式输出（SSE）实时响应，并具备思维链展示（推理过程可视化）功能。</t>
  </si>
  <si>
    <t>嵌入式综合实验室文化建设及部分装修改造</t>
  </si>
  <si>
    <t>项</t>
  </si>
  <si>
    <t>合计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</si>
</sst>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宋体"/>
      <charset val="134"/>
      <scheme val="minor"/>
    </font>
    <font>
      <sz val="11"/>
      <name val="宋体"/>
      <charset val="134"/>
      <scheme val="minor"/>
    </font>
    <font>
      <sz val="11"/>
      <color rgb="FF000000"/>
      <name val="宋体"/>
      <charset val="134"/>
      <scheme val="minor"/>
    </font>
    <font>
      <sz val="10"/>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horizontal="lef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workbookViewId="0">
      <selection activeCell="I13" sqref="I13"/>
    </sheetView>
  </sheetViews>
  <sheetFormatPr defaultColWidth="9.25" defaultRowHeight="13.5" x14ac:dyDescent="0.15"/>
  <cols>
    <col min="1" max="1" width="9.25" customWidth="1"/>
    <col min="2" max="2" width="41.75" customWidth="1"/>
    <col min="3" max="3" width="84.25" style="1" customWidth="1"/>
    <col min="4" max="4" width="9.25" customWidth="1"/>
  </cols>
  <sheetData>
    <row r="1" spans="1:7" ht="17.100000000000001" customHeight="1" x14ac:dyDescent="0.15">
      <c r="A1" s="2" t="s">
        <v>0</v>
      </c>
      <c r="B1" s="2" t="s">
        <v>1</v>
      </c>
      <c r="C1" s="2" t="s">
        <v>2</v>
      </c>
      <c r="D1" s="2" t="s">
        <v>3</v>
      </c>
      <c r="E1" s="2" t="s">
        <v>4</v>
      </c>
      <c r="F1" s="2" t="s">
        <v>5</v>
      </c>
      <c r="G1" s="2" t="s">
        <v>6</v>
      </c>
    </row>
    <row r="2" spans="1:7" ht="24.95" customHeight="1" x14ac:dyDescent="0.15">
      <c r="A2" s="2">
        <v>1</v>
      </c>
      <c r="B2" s="3" t="s">
        <v>7</v>
      </c>
      <c r="C2" s="7" t="s">
        <v>8</v>
      </c>
      <c r="D2" s="2" t="s">
        <v>9</v>
      </c>
      <c r="E2" s="2">
        <v>25</v>
      </c>
      <c r="F2" s="2">
        <v>19200</v>
      </c>
      <c r="G2" s="2">
        <f t="shared" ref="G2:G12" si="0">E2*F2</f>
        <v>480000</v>
      </c>
    </row>
    <row r="3" spans="1:7" ht="24.95" customHeight="1" x14ac:dyDescent="0.15">
      <c r="A3" s="2">
        <v>2</v>
      </c>
      <c r="B3" s="3" t="s">
        <v>10</v>
      </c>
      <c r="C3" s="7" t="s">
        <v>11</v>
      </c>
      <c r="D3" s="2" t="s">
        <v>9</v>
      </c>
      <c r="E3" s="2">
        <v>25</v>
      </c>
      <c r="F3" s="4">
        <v>550</v>
      </c>
      <c r="G3" s="2">
        <f t="shared" si="0"/>
        <v>13750</v>
      </c>
    </row>
    <row r="4" spans="1:7" ht="24.95" customHeight="1" x14ac:dyDescent="0.15">
      <c r="A4" s="2">
        <v>3</v>
      </c>
      <c r="B4" s="3" t="s">
        <v>12</v>
      </c>
      <c r="C4" s="7" t="s">
        <v>13</v>
      </c>
      <c r="D4" s="2" t="s">
        <v>9</v>
      </c>
      <c r="E4" s="2">
        <v>25</v>
      </c>
      <c r="F4" s="4">
        <v>650</v>
      </c>
      <c r="G4" s="2">
        <f t="shared" si="0"/>
        <v>16250</v>
      </c>
    </row>
    <row r="5" spans="1:7" ht="24.95" customHeight="1" x14ac:dyDescent="0.15">
      <c r="A5" s="2">
        <v>4</v>
      </c>
      <c r="B5" s="3" t="s">
        <v>14</v>
      </c>
      <c r="C5" s="7" t="s">
        <v>15</v>
      </c>
      <c r="D5" s="2" t="s">
        <v>9</v>
      </c>
      <c r="E5" s="2">
        <v>25</v>
      </c>
      <c r="F5" s="4">
        <v>760</v>
      </c>
      <c r="G5" s="2">
        <f t="shared" si="0"/>
        <v>19000</v>
      </c>
    </row>
    <row r="6" spans="1:7" ht="24.95" customHeight="1" x14ac:dyDescent="0.15">
      <c r="A6" s="2">
        <v>5</v>
      </c>
      <c r="B6" s="3" t="s">
        <v>16</v>
      </c>
      <c r="C6" s="7" t="s">
        <v>17</v>
      </c>
      <c r="D6" s="2" t="s">
        <v>9</v>
      </c>
      <c r="E6" s="2">
        <v>25</v>
      </c>
      <c r="F6" s="4">
        <v>865</v>
      </c>
      <c r="G6" s="2">
        <f t="shared" si="0"/>
        <v>21625</v>
      </c>
    </row>
    <row r="7" spans="1:7" ht="24.95" customHeight="1" x14ac:dyDescent="0.15">
      <c r="A7" s="2">
        <v>6</v>
      </c>
      <c r="B7" s="3" t="s">
        <v>18</v>
      </c>
      <c r="C7" s="7" t="s">
        <v>19</v>
      </c>
      <c r="D7" s="2" t="s">
        <v>9</v>
      </c>
      <c r="E7" s="2">
        <v>25</v>
      </c>
      <c r="F7" s="4">
        <v>675</v>
      </c>
      <c r="G7" s="2">
        <f t="shared" si="0"/>
        <v>16875</v>
      </c>
    </row>
    <row r="8" spans="1:7" ht="24.95" customHeight="1" x14ac:dyDescent="0.15">
      <c r="A8" s="2">
        <v>7</v>
      </c>
      <c r="B8" s="2" t="s">
        <v>20</v>
      </c>
      <c r="C8" s="7" t="s">
        <v>21</v>
      </c>
      <c r="D8" s="2" t="s">
        <v>9</v>
      </c>
      <c r="E8" s="2">
        <v>1</v>
      </c>
      <c r="F8" s="4">
        <v>175000</v>
      </c>
      <c r="G8" s="2">
        <f t="shared" si="0"/>
        <v>175000</v>
      </c>
    </row>
    <row r="9" spans="1:7" ht="24.95" customHeight="1" x14ac:dyDescent="0.15">
      <c r="A9" s="2">
        <v>8</v>
      </c>
      <c r="B9" s="3" t="s">
        <v>22</v>
      </c>
      <c r="C9" s="7" t="s">
        <v>23</v>
      </c>
      <c r="D9" s="2" t="s">
        <v>9</v>
      </c>
      <c r="E9" s="2">
        <v>1</v>
      </c>
      <c r="F9" s="4">
        <v>62500</v>
      </c>
      <c r="G9" s="2">
        <f t="shared" si="0"/>
        <v>62500</v>
      </c>
    </row>
    <row r="10" spans="1:7" ht="24.95" customHeight="1" x14ac:dyDescent="0.15">
      <c r="A10" s="2">
        <v>9</v>
      </c>
      <c r="B10" s="3" t="s">
        <v>24</v>
      </c>
      <c r="C10" s="7" t="s">
        <v>25</v>
      </c>
      <c r="D10" s="2" t="s">
        <v>9</v>
      </c>
      <c r="E10" s="2">
        <v>1</v>
      </c>
      <c r="F10" s="2">
        <v>22500</v>
      </c>
      <c r="G10" s="2">
        <f t="shared" si="0"/>
        <v>22500</v>
      </c>
    </row>
    <row r="11" spans="1:7" ht="24.95" customHeight="1" x14ac:dyDescent="0.15">
      <c r="A11" s="2">
        <v>10</v>
      </c>
      <c r="B11" s="5" t="s">
        <v>26</v>
      </c>
      <c r="C11" s="8" t="s">
        <v>27</v>
      </c>
      <c r="D11" s="2" t="s">
        <v>9</v>
      </c>
      <c r="E11" s="5">
        <v>1</v>
      </c>
      <c r="F11" s="2">
        <v>22500</v>
      </c>
      <c r="G11" s="2">
        <f t="shared" si="0"/>
        <v>22500</v>
      </c>
    </row>
    <row r="12" spans="1:7" ht="24.95" customHeight="1" x14ac:dyDescent="0.15">
      <c r="A12" s="2">
        <v>11</v>
      </c>
      <c r="B12" s="5" t="s">
        <v>28</v>
      </c>
      <c r="C12" s="8" t="s">
        <v>28</v>
      </c>
      <c r="D12" s="2" t="s">
        <v>29</v>
      </c>
      <c r="E12" s="5">
        <v>1</v>
      </c>
      <c r="F12" s="2">
        <v>10000</v>
      </c>
      <c r="G12" s="2">
        <f t="shared" si="0"/>
        <v>10000</v>
      </c>
    </row>
    <row r="13" spans="1:7" ht="24.95" customHeight="1" x14ac:dyDescent="0.15">
      <c r="A13" s="2">
        <v>12</v>
      </c>
      <c r="B13" s="6" t="s">
        <v>30</v>
      </c>
      <c r="C13" s="6"/>
      <c r="D13" s="6"/>
      <c r="E13" s="6"/>
      <c r="F13" s="6"/>
      <c r="G13" s="6">
        <f>SUM(G2:G12)</f>
        <v>860000</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项目清单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Handoff</dc:creator>
  <cp:lastModifiedBy>Handoff</cp:lastModifiedBy>
  <dcterms:created xsi:type="dcterms:W3CDTF">2026-07-04T02:42:00Z</dcterms:created>
  <dcterms:modified xsi:type="dcterms:W3CDTF">2026-07-09T01:43:13Z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55339329AAE1E7AE7840466A63BD5579_41</vt:lpwstr>
  </property>
  <property fmtid="{D5CDD505-2E9C-101B-9397-08002B2CF9AE}" pid="3" name="KSOProductBuildVer">
    <vt:lpwstr>2052-12.1.25895.25895</vt:lpwstr>
  </property>
  <property fmtid="{D5CDD505-2E9C-101B-9397-08002B2CF9AE}" pid="4" name="CalculationRule">
    <vt:i4>1</vt:i4>
  </property>
</Properties>
</file>